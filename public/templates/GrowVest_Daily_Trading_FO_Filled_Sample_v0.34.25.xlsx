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Trading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Lists" sheetId="3" state="hidden" r:id="rId3"/>
  </sheets>
  <definedNames>
    <definedName name="_xlnm._FilterDatabase" localSheetId="0" hidden="1">'Daily Trading'!$A$5:$AH$205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d-mm-yyyy"/>
    <numFmt numFmtId="165" formatCode="#,##0.00;[Red](#,##0.00);-"/>
    <numFmt numFmtId="166" formatCode="₹#,##0.00;[Red](₹#,##0.00);-"/>
  </numFmts>
  <fonts count="12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b val="1"/>
      <color rgb="0012325A"/>
      <sz val="11"/>
    </font>
    <font>
      <b val="1"/>
      <color rgb="001F4ED8"/>
      <sz val="11"/>
    </font>
    <font>
      <color rgb="00334155"/>
      <sz val="10"/>
    </font>
    <font>
      <b val="1"/>
      <color rgb="00FFFFFF"/>
    </font>
    <font>
      <b val="1"/>
      <color rgb="0012325A"/>
      <sz val="10"/>
    </font>
    <font>
      <i val="1"/>
      <color rgb="006B7280"/>
      <sz val="9"/>
    </font>
    <font>
      <b val="1"/>
      <color rgb="00FFFFFF"/>
      <sz val="9"/>
    </font>
    <font>
      <color rgb="000000FF"/>
      <sz val="9"/>
    </font>
    <font>
      <color rgb="00000000"/>
      <sz val="9"/>
    </font>
    <font>
      <b val="1"/>
      <color rgb="00E53935"/>
      <sz val="9"/>
    </font>
  </fonts>
  <fills count="8">
    <fill>
      <patternFill/>
    </fill>
    <fill>
      <patternFill patternType="gray125"/>
    </fill>
    <fill>
      <patternFill patternType="solid">
        <fgColor rgb="001F4ED8"/>
      </patternFill>
    </fill>
    <fill>
      <patternFill patternType="solid">
        <fgColor rgb="00EDF4FF"/>
      </patternFill>
    </fill>
    <fill>
      <patternFill patternType="solid">
        <fgColor rgb="000B0B0F"/>
      </patternFill>
    </fill>
    <fill>
      <patternFill patternType="solid">
        <fgColor rgb="00EAF7FB"/>
      </patternFill>
    </fill>
    <fill>
      <patternFill patternType="solid">
        <fgColor rgb="00F4F6F9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6" fillId="5" borderId="0" pivotButton="0" quotePrefix="0" xfId="0"/>
    <xf numFmtId="0" fontId="11" fillId="6" borderId="0" pivotButton="0" quotePrefix="0" xfId="0"/>
    <xf numFmtId="0" fontId="8" fillId="4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5" fontId="10" fillId="7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166" fontId="10" fillId="7" borderId="0" applyAlignment="1" pivotButton="0" quotePrefix="0" xfId="0">
      <alignment vertical="center"/>
    </xf>
    <xf numFmtId="49" fontId="10" fillId="7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E8F7EF"/>
        </patternFill>
      </fill>
    </dxf>
    <dxf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4" customWidth="1" min="4" max="4"/>
    <col width="20" customWidth="1" min="5" max="5"/>
    <col width="14" customWidth="1" min="6" max="6"/>
    <col width="20" customWidth="1" min="7" max="7"/>
    <col width="12" customWidth="1" min="8" max="8"/>
    <col width="16" customWidth="1" min="9" max="9"/>
    <col width="28" customWidth="1" min="10" max="10"/>
    <col width="14" customWidth="1" min="11" max="11"/>
    <col width="16" customWidth="1" min="12" max="12"/>
    <col width="12" customWidth="1" min="13" max="13"/>
    <col width="12" customWidth="1" min="14" max="14"/>
    <col width="13" customWidth="1" min="15" max="15"/>
    <col width="14" customWidth="1" min="16" max="16"/>
    <col width="14" customWidth="1" min="17" max="17"/>
    <col width="16" customWidth="1" min="18" max="18"/>
    <col width="16" customWidth="1" min="19" max="19"/>
    <col width="16" customWidth="1" min="20" max="20"/>
    <col width="16" customWidth="1" min="21" max="21"/>
    <col width="13" customWidth="1" min="22" max="22"/>
    <col width="12" customWidth="1" min="23" max="23"/>
    <col width="16" customWidth="1" min="24" max="24"/>
    <col width="12" customWidth="1" min="25" max="25"/>
    <col width="13" customWidth="1" min="26" max="26"/>
    <col width="14" customWidth="1" min="27" max="27"/>
    <col width="17" customWidth="1" min="28" max="28"/>
    <col width="16" customWidth="1" min="29" max="29"/>
    <col width="14" customWidth="1" min="30" max="30"/>
    <col width="18" customWidth="1" min="31" max="31"/>
    <col width="18" customWidth="1" min="32" max="32"/>
    <col width="12" customWidth="1" min="33" max="33"/>
    <col width="30" customWidth="1" min="34" max="34"/>
  </cols>
  <sheetData>
    <row r="1">
      <c r="A1" s="1" t="inlineStr">
        <is>
          <t>GrowVest Daily Trading / F&amp;O Upload</t>
        </is>
      </c>
    </row>
    <row r="2"/>
    <row r="3">
      <c r="A3" s="2" t="inlineStr">
        <is>
          <t>CLOSED trades only · One investor + one broker per workbook · Trading P&amp;L stays outside Investment Portfolio and Bucket List corpus</t>
        </is>
      </c>
    </row>
    <row r="4">
      <c r="A4" s="3" t="inlineStr">
        <is>
          <t>FILLED SAMPLE — replace sample identity/trades before using for a real investor. Formula columns recalculate automatically.</t>
        </is>
      </c>
    </row>
    <row r="5" ht="42" customHeight="1">
      <c r="A5" s="4" t="inlineStr">
        <is>
          <t>Investor Name</t>
        </is>
      </c>
      <c r="B5" s="4" t="inlineStr">
        <is>
          <t>PAN (Optional)</t>
        </is>
      </c>
      <c r="C5" s="4" t="inlineStr">
        <is>
          <t>Client Code</t>
        </is>
      </c>
      <c r="D5" s="4" t="inlineStr">
        <is>
          <t>Trade Date</t>
        </is>
      </c>
      <c r="E5" s="4" t="inlineStr">
        <is>
          <t>Broker</t>
        </is>
      </c>
      <c r="F5" s="4" t="inlineStr">
        <is>
          <t>Segment</t>
        </is>
      </c>
      <c r="G5" s="4" t="inlineStr">
        <is>
          <t>Instrument Type</t>
        </is>
      </c>
      <c r="H5" s="4" t="inlineStr">
        <is>
          <t>Exchange</t>
        </is>
      </c>
      <c r="I5" s="4" t="inlineStr">
        <is>
          <t>Underlying</t>
        </is>
      </c>
      <c r="J5" s="4" t="inlineStr">
        <is>
          <t>Contract / Symbol</t>
        </is>
      </c>
      <c r="K5" s="4" t="inlineStr">
        <is>
          <t>Expiry Date</t>
        </is>
      </c>
      <c r="L5" s="4" t="inlineStr">
        <is>
          <t>Position Side</t>
        </is>
      </c>
      <c r="M5" s="4" t="inlineStr">
        <is>
          <t>Quantity</t>
        </is>
      </c>
      <c r="N5" s="4" t="inlineStr">
        <is>
          <t>Lot Size</t>
        </is>
      </c>
      <c r="O5" s="4" t="inlineStr">
        <is>
          <t>Lots (Formula)</t>
        </is>
      </c>
      <c r="P5" s="4" t="inlineStr">
        <is>
          <t>Entry Price</t>
        </is>
      </c>
      <c r="Q5" s="4" t="inlineStr">
        <is>
          <t>Exit Price</t>
        </is>
      </c>
      <c r="R5" s="4" t="inlineStr">
        <is>
          <t>Entry Value (Formula)</t>
        </is>
      </c>
      <c r="S5" s="4" t="inlineStr">
        <is>
          <t>Exit Value (Formula)</t>
        </is>
      </c>
      <c r="T5" s="4" t="inlineStr">
        <is>
          <t>Turnover (Formula)</t>
        </is>
      </c>
      <c r="U5" s="4" t="inlineStr">
        <is>
          <t>Gross P&amp;L (Formula)</t>
        </is>
      </c>
      <c r="V5" s="4" t="inlineStr">
        <is>
          <t>Brokerage</t>
        </is>
      </c>
      <c r="W5" s="4" t="inlineStr">
        <is>
          <t>STT</t>
        </is>
      </c>
      <c r="X5" s="4" t="inlineStr">
        <is>
          <t>Exchange Charges</t>
        </is>
      </c>
      <c r="Y5" s="4" t="inlineStr">
        <is>
          <t>GST</t>
        </is>
      </c>
      <c r="Z5" s="4" t="inlineStr">
        <is>
          <t>Stamp Duty</t>
        </is>
      </c>
      <c r="AA5" s="4" t="inlineStr">
        <is>
          <t>Other Charges</t>
        </is>
      </c>
      <c r="AB5" s="4" t="inlineStr">
        <is>
          <t>Total Charges (Formula)</t>
        </is>
      </c>
      <c r="AC5" s="4" t="inlineStr">
        <is>
          <t>Net P&amp;L (Formula)</t>
        </is>
      </c>
      <c r="AD5" s="4" t="inlineStr">
        <is>
          <t>Result (Formula)</t>
        </is>
      </c>
      <c r="AE5" s="4" t="inlineStr">
        <is>
          <t>Order ID</t>
        </is>
      </c>
      <c r="AF5" s="4" t="inlineStr">
        <is>
          <t>Trade ID</t>
        </is>
      </c>
      <c r="AG5" s="4" t="inlineStr">
        <is>
          <t>Status</t>
        </is>
      </c>
      <c r="AH5" s="4" t="inlineStr">
        <is>
          <t>Notes</t>
        </is>
      </c>
    </row>
    <row r="6" ht="20" customHeight="1">
      <c r="A6" s="5" t="inlineStr">
        <is>
          <t>Aarav Mehta</t>
        </is>
      </c>
      <c r="B6" s="6" t="inlineStr">
        <is>
          <t>ABCDE1234F</t>
        </is>
      </c>
      <c r="C6" s="6" t="inlineStr">
        <is>
          <t>GV1001</t>
        </is>
      </c>
      <c r="D6" s="7" t="n">
        <v>46290</v>
      </c>
      <c r="E6" s="5" t="inlineStr">
        <is>
          <t>Bajaj Broking</t>
        </is>
      </c>
      <c r="F6" s="6" t="inlineStr">
        <is>
          <t>EQ</t>
        </is>
      </c>
      <c r="G6" s="6" t="inlineStr">
        <is>
          <t>EQUITY_INTRADAY</t>
        </is>
      </c>
      <c r="H6" s="6" t="inlineStr">
        <is>
          <t>NSE</t>
        </is>
      </c>
      <c r="I6" s="6" t="inlineStr">
        <is>
          <t>RELIANCE</t>
        </is>
      </c>
      <c r="J6" s="5" t="inlineStr">
        <is>
          <t>RELIANCE</t>
        </is>
      </c>
      <c r="K6" s="7" t="n"/>
      <c r="L6" s="6" t="inlineStr">
        <is>
          <t>LONG</t>
        </is>
      </c>
      <c r="M6" s="8" t="n">
        <v>50</v>
      </c>
      <c r="N6" s="8" t="n">
        <v>1</v>
      </c>
      <c r="O6" s="9">
        <f>IF(OR(M6="",N6="",N6=0),"",M6/N6)</f>
        <v/>
      </c>
      <c r="P6" s="10" t="n">
        <v>1385.5</v>
      </c>
      <c r="Q6" s="10" t="n">
        <v>1398.2</v>
      </c>
      <c r="R6" s="11">
        <f>IF(OR(M6="",P6=""),"",M6*P6)</f>
        <v/>
      </c>
      <c r="S6" s="11">
        <f>IF(OR(M6="",Q6=""),"",M6*Q6)</f>
        <v/>
      </c>
      <c r="T6" s="11">
        <f>IF(OR(R6="",S6=""),"",R6+S6)</f>
        <v/>
      </c>
      <c r="U6" s="11">
        <f>IF(OR(L6="",M6="",P6="",Q6=""),"",IF(UPPER(L6)="SHORT",(P6-Q6)*M6,(Q6-P6)*M6))</f>
        <v/>
      </c>
      <c r="V6" s="10" t="n">
        <v>20</v>
      </c>
      <c r="W6" s="10" t="n">
        <v>8</v>
      </c>
      <c r="X6" s="10" t="n">
        <v>4</v>
      </c>
      <c r="Y6" s="10" t="n">
        <v>5</v>
      </c>
      <c r="Z6" s="10" t="n">
        <v>2</v>
      </c>
      <c r="AA6" s="10" t="n">
        <v>1</v>
      </c>
      <c r="AB6" s="11">
        <f>IF(COUNTA(V6:AA6)=0,"",SUM(V6:AA6))</f>
        <v/>
      </c>
      <c r="AC6" s="11">
        <f>IF(U6="","",U6-IF(AB6="",0,AB6))</f>
        <v/>
      </c>
      <c r="AD6" s="12">
        <f>IF(AC6="","",IF(AC6&gt;0,"PROFIT",IF(AC6&lt;0,"LOSS","BREAKEVEN")))</f>
        <v/>
      </c>
      <c r="AE6" s="6" t="inlineStr">
        <is>
          <t>ORD-EQ-001</t>
        </is>
      </c>
      <c r="AF6" s="6" t="inlineStr">
        <is>
          <t>TRD-EQ-001</t>
        </is>
      </c>
      <c r="AG6" s="6" t="inlineStr">
        <is>
          <t>CLOSED</t>
        </is>
      </c>
      <c r="AH6" s="5" t="inlineStr">
        <is>
          <t>Closed equity intraday example</t>
        </is>
      </c>
    </row>
    <row r="7" ht="20" customHeight="1">
      <c r="A7" s="5" t="inlineStr">
        <is>
          <t>Aarav Mehta</t>
        </is>
      </c>
      <c r="B7" s="6" t="inlineStr">
        <is>
          <t>ABCDE1234F</t>
        </is>
      </c>
      <c r="C7" s="6" t="inlineStr">
        <is>
          <t>GV1001</t>
        </is>
      </c>
      <c r="D7" s="7" t="n">
        <v>46290</v>
      </c>
      <c r="E7" s="5" t="inlineStr">
        <is>
          <t>Bajaj Broking</t>
        </is>
      </c>
      <c r="F7" s="6" t="inlineStr">
        <is>
          <t>F&amp;O</t>
        </is>
      </c>
      <c r="G7" s="6" t="inlineStr">
        <is>
          <t>FUTURE</t>
        </is>
      </c>
      <c r="H7" s="6" t="inlineStr">
        <is>
          <t>NFO</t>
        </is>
      </c>
      <c r="I7" s="6" t="inlineStr">
        <is>
          <t>NIFTY</t>
        </is>
      </c>
      <c r="J7" s="5" t="inlineStr">
        <is>
          <t>NIFTY 25SEP26 FUT</t>
        </is>
      </c>
      <c r="K7" s="7" t="n">
        <v>46290</v>
      </c>
      <c r="L7" s="6" t="inlineStr">
        <is>
          <t>LONG</t>
        </is>
      </c>
      <c r="M7" s="8" t="n">
        <v>75</v>
      </c>
      <c r="N7" s="8" t="n">
        <v>75</v>
      </c>
      <c r="O7" s="9">
        <f>IF(OR(M7="",N7="",N7=0),"",M7/N7)</f>
        <v/>
      </c>
      <c r="P7" s="10" t="n">
        <v>25180.5</v>
      </c>
      <c r="Q7" s="10" t="n">
        <v>25245</v>
      </c>
      <c r="R7" s="11">
        <f>IF(OR(M7="",P7=""),"",M7*P7)</f>
        <v/>
      </c>
      <c r="S7" s="11">
        <f>IF(OR(M7="",Q7=""),"",M7*Q7)</f>
        <v/>
      </c>
      <c r="T7" s="11">
        <f>IF(OR(R7="",S7=""),"",R7+S7)</f>
        <v/>
      </c>
      <c r="U7" s="11">
        <f>IF(OR(L7="",M7="",P7="",Q7=""),"",IF(UPPER(L7)="SHORT",(P7-Q7)*M7,(Q7-P7)*M7))</f>
        <v/>
      </c>
      <c r="V7" s="10" t="n">
        <v>40</v>
      </c>
      <c r="W7" s="10" t="n">
        <v>150</v>
      </c>
      <c r="X7" s="10" t="n">
        <v>28</v>
      </c>
      <c r="Y7" s="10" t="n">
        <v>18</v>
      </c>
      <c r="Z7" s="10" t="n">
        <v>25</v>
      </c>
      <c r="AA7" s="10" t="n">
        <v>5</v>
      </c>
      <c r="AB7" s="11">
        <f>IF(COUNTA(V7:AA7)=0,"",SUM(V7:AA7))</f>
        <v/>
      </c>
      <c r="AC7" s="11">
        <f>IF(U7="","",U7-IF(AB7="",0,AB7))</f>
        <v/>
      </c>
      <c r="AD7" s="12">
        <f>IF(AC7="","",IF(AC7&gt;0,"PROFIT",IF(AC7&lt;0,"LOSS","BREAKEVEN")))</f>
        <v/>
      </c>
      <c r="AE7" s="6" t="inlineStr">
        <is>
          <t>ORD-FUT-001</t>
        </is>
      </c>
      <c r="AF7" s="6" t="inlineStr">
        <is>
          <t>TRD-FUT-001</t>
        </is>
      </c>
      <c r="AG7" s="6" t="inlineStr">
        <is>
          <t>CLOSED</t>
        </is>
      </c>
      <c r="AH7" s="5" t="inlineStr">
        <is>
          <t>Long futures example</t>
        </is>
      </c>
    </row>
    <row r="8" ht="20" customHeight="1">
      <c r="A8" s="5" t="inlineStr">
        <is>
          <t>Aarav Mehta</t>
        </is>
      </c>
      <c r="B8" s="6" t="inlineStr">
        <is>
          <t>ABCDE1234F</t>
        </is>
      </c>
      <c r="C8" s="6" t="inlineStr">
        <is>
          <t>GV1001</t>
        </is>
      </c>
      <c r="D8" s="7" t="n">
        <v>46290</v>
      </c>
      <c r="E8" s="5" t="inlineStr">
        <is>
          <t>Bajaj Broking</t>
        </is>
      </c>
      <c r="F8" s="6" t="inlineStr">
        <is>
          <t>F&amp;O</t>
        </is>
      </c>
      <c r="G8" s="6" t="inlineStr">
        <is>
          <t>OPTION_CALL</t>
        </is>
      </c>
      <c r="H8" s="6" t="inlineStr">
        <is>
          <t>NFO</t>
        </is>
      </c>
      <c r="I8" s="6" t="inlineStr">
        <is>
          <t>NIFTY</t>
        </is>
      </c>
      <c r="J8" s="5" t="inlineStr">
        <is>
          <t>NIFTY 25SEP26 25200 CE</t>
        </is>
      </c>
      <c r="K8" s="7" t="n">
        <v>46290</v>
      </c>
      <c r="L8" s="6" t="inlineStr">
        <is>
          <t>LONG</t>
        </is>
      </c>
      <c r="M8" s="8" t="n">
        <v>75</v>
      </c>
      <c r="N8" s="8" t="n">
        <v>75</v>
      </c>
      <c r="O8" s="9">
        <f>IF(OR(M8="",N8="",N8=0),"",M8/N8)</f>
        <v/>
      </c>
      <c r="P8" s="10" t="n">
        <v>120</v>
      </c>
      <c r="Q8" s="10" t="n">
        <v>148.5</v>
      </c>
      <c r="R8" s="11">
        <f>IF(OR(M8="",P8=""),"",M8*P8)</f>
        <v/>
      </c>
      <c r="S8" s="11">
        <f>IF(OR(M8="",Q8=""),"",M8*Q8)</f>
        <v/>
      </c>
      <c r="T8" s="11">
        <f>IF(OR(R8="",S8=""),"",R8+S8)</f>
        <v/>
      </c>
      <c r="U8" s="11">
        <f>IF(OR(L8="",M8="",P8="",Q8=""),"",IF(UPPER(L8)="SHORT",(P8-Q8)*M8,(Q8-P8)*M8))</f>
        <v/>
      </c>
      <c r="V8" s="10" t="n">
        <v>40</v>
      </c>
      <c r="W8" s="10" t="n">
        <v>20</v>
      </c>
      <c r="X8" s="10" t="n">
        <v>12</v>
      </c>
      <c r="Y8" s="10" t="n">
        <v>14</v>
      </c>
      <c r="Z8" s="10" t="n">
        <v>8</v>
      </c>
      <c r="AA8" s="10" t="n">
        <v>3</v>
      </c>
      <c r="AB8" s="11">
        <f>IF(COUNTA(V8:AA8)=0,"",SUM(V8:AA8))</f>
        <v/>
      </c>
      <c r="AC8" s="11">
        <f>IF(U8="","",U8-IF(AB8="",0,AB8))</f>
        <v/>
      </c>
      <c r="AD8" s="12">
        <f>IF(AC8="","",IF(AC8&gt;0,"PROFIT",IF(AC8&lt;0,"LOSS","BREAKEVEN")))</f>
        <v/>
      </c>
      <c r="AE8" s="6" t="inlineStr">
        <is>
          <t>ORD-CE-001</t>
        </is>
      </c>
      <c r="AF8" s="6" t="inlineStr">
        <is>
          <t>TRD-CE-001</t>
        </is>
      </c>
      <c r="AG8" s="6" t="inlineStr">
        <is>
          <t>CLOSED</t>
        </is>
      </c>
      <c r="AH8" s="5" t="inlineStr">
        <is>
          <t>Call option example</t>
        </is>
      </c>
    </row>
    <row r="9" ht="20" customHeight="1">
      <c r="A9" s="5" t="inlineStr">
        <is>
          <t>Aarav Mehta</t>
        </is>
      </c>
      <c r="B9" s="6" t="inlineStr">
        <is>
          <t>ABCDE1234F</t>
        </is>
      </c>
      <c r="C9" s="6" t="inlineStr">
        <is>
          <t>GV1001</t>
        </is>
      </c>
      <c r="D9" s="7" t="n">
        <v>46290</v>
      </c>
      <c r="E9" s="5" t="inlineStr">
        <is>
          <t>Bajaj Broking</t>
        </is>
      </c>
      <c r="F9" s="6" t="inlineStr">
        <is>
          <t>F&amp;O</t>
        </is>
      </c>
      <c r="G9" s="6" t="inlineStr">
        <is>
          <t>FUTURE</t>
        </is>
      </c>
      <c r="H9" s="6" t="inlineStr">
        <is>
          <t>NFO</t>
        </is>
      </c>
      <c r="I9" s="6" t="inlineStr">
        <is>
          <t>BANKNIFTY</t>
        </is>
      </c>
      <c r="J9" s="5" t="inlineStr">
        <is>
          <t>BANKNIFTY 25SEP26 FUT</t>
        </is>
      </c>
      <c r="K9" s="7" t="n">
        <v>46290</v>
      </c>
      <c r="L9" s="6" t="inlineStr">
        <is>
          <t>SHORT</t>
        </is>
      </c>
      <c r="M9" s="8" t="n">
        <v>30</v>
      </c>
      <c r="N9" s="8" t="n">
        <v>30</v>
      </c>
      <c r="O9" s="9">
        <f>IF(OR(M9="",N9="",N9=0),"",M9/N9)</f>
        <v/>
      </c>
      <c r="P9" s="10" t="n">
        <v>54850</v>
      </c>
      <c r="Q9" s="10" t="n">
        <v>54620</v>
      </c>
      <c r="R9" s="11">
        <f>IF(OR(M9="",P9=""),"",M9*P9)</f>
        <v/>
      </c>
      <c r="S9" s="11">
        <f>IF(OR(M9="",Q9=""),"",M9*Q9)</f>
        <v/>
      </c>
      <c r="T9" s="11">
        <f>IF(OR(R9="",S9=""),"",R9+S9)</f>
        <v/>
      </c>
      <c r="U9" s="11">
        <f>IF(OR(L9="",M9="",P9="",Q9=""),"",IF(UPPER(L9)="SHORT",(P9-Q9)*M9,(Q9-P9)*M9))</f>
        <v/>
      </c>
      <c r="V9" s="10" t="n">
        <v>40</v>
      </c>
      <c r="W9" s="10" t="n">
        <v>160</v>
      </c>
      <c r="X9" s="10" t="n">
        <v>30</v>
      </c>
      <c r="Y9" s="10" t="n">
        <v>18</v>
      </c>
      <c r="Z9" s="10" t="n">
        <v>25</v>
      </c>
      <c r="AA9" s="10" t="n">
        <v>6</v>
      </c>
      <c r="AB9" s="11">
        <f>IF(COUNTA(V9:AA9)=0,"",SUM(V9:AA9))</f>
        <v/>
      </c>
      <c r="AC9" s="11">
        <f>IF(U9="","",U9-IF(AB9="",0,AB9))</f>
        <v/>
      </c>
      <c r="AD9" s="12">
        <f>IF(AC9="","",IF(AC9&gt;0,"PROFIT",IF(AC9&lt;0,"LOSS","BREAKEVEN")))</f>
        <v/>
      </c>
      <c r="AE9" s="6" t="inlineStr">
        <is>
          <t>ORD-FUT-002</t>
        </is>
      </c>
      <c r="AF9" s="6" t="inlineStr">
        <is>
          <t>TRD-FUT-002</t>
        </is>
      </c>
      <c r="AG9" s="6" t="inlineStr">
        <is>
          <t>CLOSED</t>
        </is>
      </c>
      <c r="AH9" s="5" t="inlineStr">
        <is>
          <t>Short futures example</t>
        </is>
      </c>
    </row>
    <row r="10" ht="20" customHeight="1">
      <c r="A10" s="5" t="n"/>
      <c r="B10" s="6" t="n"/>
      <c r="C10" s="6" t="n"/>
      <c r="D10" s="7" t="n"/>
      <c r="E10" s="5" t="n"/>
      <c r="F10" s="6" t="n"/>
      <c r="G10" s="6" t="n"/>
      <c r="H10" s="6" t="n"/>
      <c r="I10" s="6" t="n"/>
      <c r="J10" s="5" t="n"/>
      <c r="K10" s="7" t="n"/>
      <c r="L10" s="6" t="n"/>
      <c r="M10" s="8" t="n"/>
      <c r="N10" s="8" t="n"/>
      <c r="O10" s="9">
        <f>IF(OR(M10="",N10="",N10=0),"",M10/N10)</f>
        <v/>
      </c>
      <c r="P10" s="10" t="n"/>
      <c r="Q10" s="10" t="n"/>
      <c r="R10" s="11">
        <f>IF(OR(M10="",P10=""),"",M10*P10)</f>
        <v/>
      </c>
      <c r="S10" s="11">
        <f>IF(OR(M10="",Q10=""),"",M10*Q10)</f>
        <v/>
      </c>
      <c r="T10" s="11">
        <f>IF(OR(R10="",S10=""),"",R10+S10)</f>
        <v/>
      </c>
      <c r="U10" s="11">
        <f>IF(OR(L10="",M10="",P10="",Q10=""),"",IF(UPPER(L10)="SHORT",(P10-Q10)*M10,(Q10-P10)*M10))</f>
        <v/>
      </c>
      <c r="V10" s="10" t="n"/>
      <c r="W10" s="10" t="n"/>
      <c r="X10" s="10" t="n"/>
      <c r="Y10" s="10" t="n"/>
      <c r="Z10" s="10" t="n"/>
      <c r="AA10" s="10" t="n"/>
      <c r="AB10" s="11">
        <f>IF(COUNTA(V10:AA10)=0,"",SUM(V10:AA10))</f>
        <v/>
      </c>
      <c r="AC10" s="11">
        <f>IF(U10="","",U10-IF(AB10="",0,AB10))</f>
        <v/>
      </c>
      <c r="AD10" s="12">
        <f>IF(AC10="","",IF(AC10&gt;0,"PROFIT",IF(AC10&lt;0,"LOSS","BREAKEVEN")))</f>
        <v/>
      </c>
      <c r="AE10" s="6" t="n"/>
      <c r="AF10" s="6" t="n"/>
      <c r="AG10" s="6" t="n"/>
      <c r="AH10" s="5" t="n"/>
    </row>
    <row r="11" ht="20" customHeight="1">
      <c r="A11" s="5" t="n"/>
      <c r="B11" s="6" t="n"/>
      <c r="C11" s="6" t="n"/>
      <c r="D11" s="7" t="n"/>
      <c r="E11" s="5" t="n"/>
      <c r="F11" s="6" t="n"/>
      <c r="G11" s="6" t="n"/>
      <c r="H11" s="6" t="n"/>
      <c r="I11" s="6" t="n"/>
      <c r="J11" s="5" t="n"/>
      <c r="K11" s="7" t="n"/>
      <c r="L11" s="6" t="n"/>
      <c r="M11" s="8" t="n"/>
      <c r="N11" s="8" t="n"/>
      <c r="O11" s="9">
        <f>IF(OR(M11="",N11="",N11=0),"",M11/N11)</f>
        <v/>
      </c>
      <c r="P11" s="10" t="n"/>
      <c r="Q11" s="10" t="n"/>
      <c r="R11" s="11">
        <f>IF(OR(M11="",P11=""),"",M11*P11)</f>
        <v/>
      </c>
      <c r="S11" s="11">
        <f>IF(OR(M11="",Q11=""),"",M11*Q11)</f>
        <v/>
      </c>
      <c r="T11" s="11">
        <f>IF(OR(R11="",S11=""),"",R11+S11)</f>
        <v/>
      </c>
      <c r="U11" s="11">
        <f>IF(OR(L11="",M11="",P11="",Q11=""),"",IF(UPPER(L11)="SHORT",(P11-Q11)*M11,(Q11-P11)*M11))</f>
        <v/>
      </c>
      <c r="V11" s="10" t="n"/>
      <c r="W11" s="10" t="n"/>
      <c r="X11" s="10" t="n"/>
      <c r="Y11" s="10" t="n"/>
      <c r="Z11" s="10" t="n"/>
      <c r="AA11" s="10" t="n"/>
      <c r="AB11" s="11">
        <f>IF(COUNTA(V11:AA11)=0,"",SUM(V11:AA11))</f>
        <v/>
      </c>
      <c r="AC11" s="11">
        <f>IF(U11="","",U11-IF(AB11="",0,AB11))</f>
        <v/>
      </c>
      <c r="AD11" s="12">
        <f>IF(AC11="","",IF(AC11&gt;0,"PROFIT",IF(AC11&lt;0,"LOSS","BREAKEVEN")))</f>
        <v/>
      </c>
      <c r="AE11" s="6" t="n"/>
      <c r="AF11" s="6" t="n"/>
      <c r="AG11" s="6" t="n"/>
      <c r="AH11" s="5" t="n"/>
    </row>
    <row r="12" ht="20" customHeight="1">
      <c r="A12" s="5" t="n"/>
      <c r="B12" s="6" t="n"/>
      <c r="C12" s="6" t="n"/>
      <c r="D12" s="7" t="n"/>
      <c r="E12" s="5" t="n"/>
      <c r="F12" s="6" t="n"/>
      <c r="G12" s="6" t="n"/>
      <c r="H12" s="6" t="n"/>
      <c r="I12" s="6" t="n"/>
      <c r="J12" s="5" t="n"/>
      <c r="K12" s="7" t="n"/>
      <c r="L12" s="6" t="n"/>
      <c r="M12" s="8" t="n"/>
      <c r="N12" s="8" t="n"/>
      <c r="O12" s="9">
        <f>IF(OR(M12="",N12="",N12=0),"",M12/N12)</f>
        <v/>
      </c>
      <c r="P12" s="10" t="n"/>
      <c r="Q12" s="10" t="n"/>
      <c r="R12" s="11">
        <f>IF(OR(M12="",P12=""),"",M12*P12)</f>
        <v/>
      </c>
      <c r="S12" s="11">
        <f>IF(OR(M12="",Q12=""),"",M12*Q12)</f>
        <v/>
      </c>
      <c r="T12" s="11">
        <f>IF(OR(R12="",S12=""),"",R12+S12)</f>
        <v/>
      </c>
      <c r="U12" s="11">
        <f>IF(OR(L12="",M12="",P12="",Q12=""),"",IF(UPPER(L12)="SHORT",(P12-Q12)*M12,(Q12-P12)*M12))</f>
        <v/>
      </c>
      <c r="V12" s="10" t="n"/>
      <c r="W12" s="10" t="n"/>
      <c r="X12" s="10" t="n"/>
      <c r="Y12" s="10" t="n"/>
      <c r="Z12" s="10" t="n"/>
      <c r="AA12" s="10" t="n"/>
      <c r="AB12" s="11">
        <f>IF(COUNTA(V12:AA12)=0,"",SUM(V12:AA12))</f>
        <v/>
      </c>
      <c r="AC12" s="11">
        <f>IF(U12="","",U12-IF(AB12="",0,AB12))</f>
        <v/>
      </c>
      <c r="AD12" s="12">
        <f>IF(AC12="","",IF(AC12&gt;0,"PROFIT",IF(AC12&lt;0,"LOSS","BREAKEVEN")))</f>
        <v/>
      </c>
      <c r="AE12" s="6" t="n"/>
      <c r="AF12" s="6" t="n"/>
      <c r="AG12" s="6" t="n"/>
      <c r="AH12" s="5" t="n"/>
    </row>
    <row r="13" ht="20" customHeight="1">
      <c r="A13" s="5" t="n"/>
      <c r="B13" s="6" t="n"/>
      <c r="C13" s="6" t="n"/>
      <c r="D13" s="7" t="n"/>
      <c r="E13" s="5" t="n"/>
      <c r="F13" s="6" t="n"/>
      <c r="G13" s="6" t="n"/>
      <c r="H13" s="6" t="n"/>
      <c r="I13" s="6" t="n"/>
      <c r="J13" s="5" t="n"/>
      <c r="K13" s="7" t="n"/>
      <c r="L13" s="6" t="n"/>
      <c r="M13" s="8" t="n"/>
      <c r="N13" s="8" t="n"/>
      <c r="O13" s="9">
        <f>IF(OR(M13="",N13="",N13=0),"",M13/N13)</f>
        <v/>
      </c>
      <c r="P13" s="10" t="n"/>
      <c r="Q13" s="10" t="n"/>
      <c r="R13" s="11">
        <f>IF(OR(M13="",P13=""),"",M13*P13)</f>
        <v/>
      </c>
      <c r="S13" s="11">
        <f>IF(OR(M13="",Q13=""),"",M13*Q13)</f>
        <v/>
      </c>
      <c r="T13" s="11">
        <f>IF(OR(R13="",S13=""),"",R13+S13)</f>
        <v/>
      </c>
      <c r="U13" s="11">
        <f>IF(OR(L13="",M13="",P13="",Q13=""),"",IF(UPPER(L13)="SHORT",(P13-Q13)*M13,(Q13-P13)*M13))</f>
        <v/>
      </c>
      <c r="V13" s="10" t="n"/>
      <c r="W13" s="10" t="n"/>
      <c r="X13" s="10" t="n"/>
      <c r="Y13" s="10" t="n"/>
      <c r="Z13" s="10" t="n"/>
      <c r="AA13" s="10" t="n"/>
      <c r="AB13" s="11">
        <f>IF(COUNTA(V13:AA13)=0,"",SUM(V13:AA13))</f>
        <v/>
      </c>
      <c r="AC13" s="11">
        <f>IF(U13="","",U13-IF(AB13="",0,AB13))</f>
        <v/>
      </c>
      <c r="AD13" s="12">
        <f>IF(AC13="","",IF(AC13&gt;0,"PROFIT",IF(AC13&lt;0,"LOSS","BREAKEVEN")))</f>
        <v/>
      </c>
      <c r="AE13" s="6" t="n"/>
      <c r="AF13" s="6" t="n"/>
      <c r="AG13" s="6" t="n"/>
      <c r="AH13" s="5" t="n"/>
    </row>
    <row r="14" ht="20" customHeight="1">
      <c r="A14" s="5" t="n"/>
      <c r="B14" s="6" t="n"/>
      <c r="C14" s="6" t="n"/>
      <c r="D14" s="7" t="n"/>
      <c r="E14" s="5" t="n"/>
      <c r="F14" s="6" t="n"/>
      <c r="G14" s="6" t="n"/>
      <c r="H14" s="6" t="n"/>
      <c r="I14" s="6" t="n"/>
      <c r="J14" s="5" t="n"/>
      <c r="K14" s="7" t="n"/>
      <c r="L14" s="6" t="n"/>
      <c r="M14" s="8" t="n"/>
      <c r="N14" s="8" t="n"/>
      <c r="O14" s="9">
        <f>IF(OR(M14="",N14="",N14=0),"",M14/N14)</f>
        <v/>
      </c>
      <c r="P14" s="10" t="n"/>
      <c r="Q14" s="10" t="n"/>
      <c r="R14" s="11">
        <f>IF(OR(M14="",P14=""),"",M14*P14)</f>
        <v/>
      </c>
      <c r="S14" s="11">
        <f>IF(OR(M14="",Q14=""),"",M14*Q14)</f>
        <v/>
      </c>
      <c r="T14" s="11">
        <f>IF(OR(R14="",S14=""),"",R14+S14)</f>
        <v/>
      </c>
      <c r="U14" s="11">
        <f>IF(OR(L14="",M14="",P14="",Q14=""),"",IF(UPPER(L14)="SHORT",(P14-Q14)*M14,(Q14-P14)*M14))</f>
        <v/>
      </c>
      <c r="V14" s="10" t="n"/>
      <c r="W14" s="10" t="n"/>
      <c r="X14" s="10" t="n"/>
      <c r="Y14" s="10" t="n"/>
      <c r="Z14" s="10" t="n"/>
      <c r="AA14" s="10" t="n"/>
      <c r="AB14" s="11">
        <f>IF(COUNTA(V14:AA14)=0,"",SUM(V14:AA14))</f>
        <v/>
      </c>
      <c r="AC14" s="11">
        <f>IF(U14="","",U14-IF(AB14="",0,AB14))</f>
        <v/>
      </c>
      <c r="AD14" s="12">
        <f>IF(AC14="","",IF(AC14&gt;0,"PROFIT",IF(AC14&lt;0,"LOSS","BREAKEVEN")))</f>
        <v/>
      </c>
      <c r="AE14" s="6" t="n"/>
      <c r="AF14" s="6" t="n"/>
      <c r="AG14" s="6" t="n"/>
      <c r="AH14" s="5" t="n"/>
    </row>
    <row r="15" ht="20" customHeight="1">
      <c r="A15" s="5" t="n"/>
      <c r="B15" s="6" t="n"/>
      <c r="C15" s="6" t="n"/>
      <c r="D15" s="7" t="n"/>
      <c r="E15" s="5" t="n"/>
      <c r="F15" s="6" t="n"/>
      <c r="G15" s="6" t="n"/>
      <c r="H15" s="6" t="n"/>
      <c r="I15" s="6" t="n"/>
      <c r="J15" s="5" t="n"/>
      <c r="K15" s="7" t="n"/>
      <c r="L15" s="6" t="n"/>
      <c r="M15" s="8" t="n"/>
      <c r="N15" s="8" t="n"/>
      <c r="O15" s="9">
        <f>IF(OR(M15="",N15="",N15=0),"",M15/N15)</f>
        <v/>
      </c>
      <c r="P15" s="10" t="n"/>
      <c r="Q15" s="10" t="n"/>
      <c r="R15" s="11">
        <f>IF(OR(M15="",P15=""),"",M15*P15)</f>
        <v/>
      </c>
      <c r="S15" s="11">
        <f>IF(OR(M15="",Q15=""),"",M15*Q15)</f>
        <v/>
      </c>
      <c r="T15" s="11">
        <f>IF(OR(R15="",S15=""),"",R15+S15)</f>
        <v/>
      </c>
      <c r="U15" s="11">
        <f>IF(OR(L15="",M15="",P15="",Q15=""),"",IF(UPPER(L15)="SHORT",(P15-Q15)*M15,(Q15-P15)*M15))</f>
        <v/>
      </c>
      <c r="V15" s="10" t="n"/>
      <c r="W15" s="10" t="n"/>
      <c r="X15" s="10" t="n"/>
      <c r="Y15" s="10" t="n"/>
      <c r="Z15" s="10" t="n"/>
      <c r="AA15" s="10" t="n"/>
      <c r="AB15" s="11">
        <f>IF(COUNTA(V15:AA15)=0,"",SUM(V15:AA15))</f>
        <v/>
      </c>
      <c r="AC15" s="11">
        <f>IF(U15="","",U15-IF(AB15="",0,AB15))</f>
        <v/>
      </c>
      <c r="AD15" s="12">
        <f>IF(AC15="","",IF(AC15&gt;0,"PROFIT",IF(AC15&lt;0,"LOSS","BREAKEVEN")))</f>
        <v/>
      </c>
      <c r="AE15" s="6" t="n"/>
      <c r="AF15" s="6" t="n"/>
      <c r="AG15" s="6" t="n"/>
      <c r="AH15" s="5" t="n"/>
    </row>
    <row r="16" ht="20" customHeight="1">
      <c r="A16" s="5" t="n"/>
      <c r="B16" s="6" t="n"/>
      <c r="C16" s="6" t="n"/>
      <c r="D16" s="7" t="n"/>
      <c r="E16" s="5" t="n"/>
      <c r="F16" s="6" t="n"/>
      <c r="G16" s="6" t="n"/>
      <c r="H16" s="6" t="n"/>
      <c r="I16" s="6" t="n"/>
      <c r="J16" s="5" t="n"/>
      <c r="K16" s="7" t="n"/>
      <c r="L16" s="6" t="n"/>
      <c r="M16" s="8" t="n"/>
      <c r="N16" s="8" t="n"/>
      <c r="O16" s="9">
        <f>IF(OR(M16="",N16="",N16=0),"",M16/N16)</f>
        <v/>
      </c>
      <c r="P16" s="10" t="n"/>
      <c r="Q16" s="10" t="n"/>
      <c r="R16" s="11">
        <f>IF(OR(M16="",P16=""),"",M16*P16)</f>
        <v/>
      </c>
      <c r="S16" s="11">
        <f>IF(OR(M16="",Q16=""),"",M16*Q16)</f>
        <v/>
      </c>
      <c r="T16" s="11">
        <f>IF(OR(R16="",S16=""),"",R16+S16)</f>
        <v/>
      </c>
      <c r="U16" s="11">
        <f>IF(OR(L16="",M16="",P16="",Q16=""),"",IF(UPPER(L16)="SHORT",(P16-Q16)*M16,(Q16-P16)*M16))</f>
        <v/>
      </c>
      <c r="V16" s="10" t="n"/>
      <c r="W16" s="10" t="n"/>
      <c r="X16" s="10" t="n"/>
      <c r="Y16" s="10" t="n"/>
      <c r="Z16" s="10" t="n"/>
      <c r="AA16" s="10" t="n"/>
      <c r="AB16" s="11">
        <f>IF(COUNTA(V16:AA16)=0,"",SUM(V16:AA16))</f>
        <v/>
      </c>
      <c r="AC16" s="11">
        <f>IF(U16="","",U16-IF(AB16="",0,AB16))</f>
        <v/>
      </c>
      <c r="AD16" s="12">
        <f>IF(AC16="","",IF(AC16&gt;0,"PROFIT",IF(AC16&lt;0,"LOSS","BREAKEVEN")))</f>
        <v/>
      </c>
      <c r="AE16" s="6" t="n"/>
      <c r="AF16" s="6" t="n"/>
      <c r="AG16" s="6" t="n"/>
      <c r="AH16" s="5" t="n"/>
    </row>
    <row r="17" ht="20" customHeight="1">
      <c r="A17" s="5" t="n"/>
      <c r="B17" s="6" t="n"/>
      <c r="C17" s="6" t="n"/>
      <c r="D17" s="7" t="n"/>
      <c r="E17" s="5" t="n"/>
      <c r="F17" s="6" t="n"/>
      <c r="G17" s="6" t="n"/>
      <c r="H17" s="6" t="n"/>
      <c r="I17" s="6" t="n"/>
      <c r="J17" s="5" t="n"/>
      <c r="K17" s="7" t="n"/>
      <c r="L17" s="6" t="n"/>
      <c r="M17" s="8" t="n"/>
      <c r="N17" s="8" t="n"/>
      <c r="O17" s="9">
        <f>IF(OR(M17="",N17="",N17=0),"",M17/N17)</f>
        <v/>
      </c>
      <c r="P17" s="10" t="n"/>
      <c r="Q17" s="10" t="n"/>
      <c r="R17" s="11">
        <f>IF(OR(M17="",P17=""),"",M17*P17)</f>
        <v/>
      </c>
      <c r="S17" s="11">
        <f>IF(OR(M17="",Q17=""),"",M17*Q17)</f>
        <v/>
      </c>
      <c r="T17" s="11">
        <f>IF(OR(R17="",S17=""),"",R17+S17)</f>
        <v/>
      </c>
      <c r="U17" s="11">
        <f>IF(OR(L17="",M17="",P17="",Q17=""),"",IF(UPPER(L17)="SHORT",(P17-Q17)*M17,(Q17-P17)*M17))</f>
        <v/>
      </c>
      <c r="V17" s="10" t="n"/>
      <c r="W17" s="10" t="n"/>
      <c r="X17" s="10" t="n"/>
      <c r="Y17" s="10" t="n"/>
      <c r="Z17" s="10" t="n"/>
      <c r="AA17" s="10" t="n"/>
      <c r="AB17" s="11">
        <f>IF(COUNTA(V17:AA17)=0,"",SUM(V17:AA17))</f>
        <v/>
      </c>
      <c r="AC17" s="11">
        <f>IF(U17="","",U17-IF(AB17="",0,AB17))</f>
        <v/>
      </c>
      <c r="AD17" s="12">
        <f>IF(AC17="","",IF(AC17&gt;0,"PROFIT",IF(AC17&lt;0,"LOSS","BREAKEVEN")))</f>
        <v/>
      </c>
      <c r="AE17" s="6" t="n"/>
      <c r="AF17" s="6" t="n"/>
      <c r="AG17" s="6" t="n"/>
      <c r="AH17" s="5" t="n"/>
    </row>
    <row r="18" ht="20" customHeight="1">
      <c r="A18" s="5" t="n"/>
      <c r="B18" s="6" t="n"/>
      <c r="C18" s="6" t="n"/>
      <c r="D18" s="7" t="n"/>
      <c r="E18" s="5" t="n"/>
      <c r="F18" s="6" t="n"/>
      <c r="G18" s="6" t="n"/>
      <c r="H18" s="6" t="n"/>
      <c r="I18" s="6" t="n"/>
      <c r="J18" s="5" t="n"/>
      <c r="K18" s="7" t="n"/>
      <c r="L18" s="6" t="n"/>
      <c r="M18" s="8" t="n"/>
      <c r="N18" s="8" t="n"/>
      <c r="O18" s="9">
        <f>IF(OR(M18="",N18="",N18=0),"",M18/N18)</f>
        <v/>
      </c>
      <c r="P18" s="10" t="n"/>
      <c r="Q18" s="10" t="n"/>
      <c r="R18" s="11">
        <f>IF(OR(M18="",P18=""),"",M18*P18)</f>
        <v/>
      </c>
      <c r="S18" s="11">
        <f>IF(OR(M18="",Q18=""),"",M18*Q18)</f>
        <v/>
      </c>
      <c r="T18" s="11">
        <f>IF(OR(R18="",S18=""),"",R18+S18)</f>
        <v/>
      </c>
      <c r="U18" s="11">
        <f>IF(OR(L18="",M18="",P18="",Q18=""),"",IF(UPPER(L18)="SHORT",(P18-Q18)*M18,(Q18-P18)*M18))</f>
        <v/>
      </c>
      <c r="V18" s="10" t="n"/>
      <c r="W18" s="10" t="n"/>
      <c r="X18" s="10" t="n"/>
      <c r="Y18" s="10" t="n"/>
      <c r="Z18" s="10" t="n"/>
      <c r="AA18" s="10" t="n"/>
      <c r="AB18" s="11">
        <f>IF(COUNTA(V18:AA18)=0,"",SUM(V18:AA18))</f>
        <v/>
      </c>
      <c r="AC18" s="11">
        <f>IF(U18="","",U18-IF(AB18="",0,AB18))</f>
        <v/>
      </c>
      <c r="AD18" s="12">
        <f>IF(AC18="","",IF(AC18&gt;0,"PROFIT",IF(AC18&lt;0,"LOSS","BREAKEVEN")))</f>
        <v/>
      </c>
      <c r="AE18" s="6" t="n"/>
      <c r="AF18" s="6" t="n"/>
      <c r="AG18" s="6" t="n"/>
      <c r="AH18" s="5" t="n"/>
    </row>
    <row r="19" ht="20" customHeight="1">
      <c r="A19" s="5" t="n"/>
      <c r="B19" s="6" t="n"/>
      <c r="C19" s="6" t="n"/>
      <c r="D19" s="7" t="n"/>
      <c r="E19" s="5" t="n"/>
      <c r="F19" s="6" t="n"/>
      <c r="G19" s="6" t="n"/>
      <c r="H19" s="6" t="n"/>
      <c r="I19" s="6" t="n"/>
      <c r="J19" s="5" t="n"/>
      <c r="K19" s="7" t="n"/>
      <c r="L19" s="6" t="n"/>
      <c r="M19" s="8" t="n"/>
      <c r="N19" s="8" t="n"/>
      <c r="O19" s="9">
        <f>IF(OR(M19="",N19="",N19=0),"",M19/N19)</f>
        <v/>
      </c>
      <c r="P19" s="10" t="n"/>
      <c r="Q19" s="10" t="n"/>
      <c r="R19" s="11">
        <f>IF(OR(M19="",P19=""),"",M19*P19)</f>
        <v/>
      </c>
      <c r="S19" s="11">
        <f>IF(OR(M19="",Q19=""),"",M19*Q19)</f>
        <v/>
      </c>
      <c r="T19" s="11">
        <f>IF(OR(R19="",S19=""),"",R19+S19)</f>
        <v/>
      </c>
      <c r="U19" s="11">
        <f>IF(OR(L19="",M19="",P19="",Q19=""),"",IF(UPPER(L19)="SHORT",(P19-Q19)*M19,(Q19-P19)*M19))</f>
        <v/>
      </c>
      <c r="V19" s="10" t="n"/>
      <c r="W19" s="10" t="n"/>
      <c r="X19" s="10" t="n"/>
      <c r="Y19" s="10" t="n"/>
      <c r="Z19" s="10" t="n"/>
      <c r="AA19" s="10" t="n"/>
      <c r="AB19" s="11">
        <f>IF(COUNTA(V19:AA19)=0,"",SUM(V19:AA19))</f>
        <v/>
      </c>
      <c r="AC19" s="11">
        <f>IF(U19="","",U19-IF(AB19="",0,AB19))</f>
        <v/>
      </c>
      <c r="AD19" s="12">
        <f>IF(AC19="","",IF(AC19&gt;0,"PROFIT",IF(AC19&lt;0,"LOSS","BREAKEVEN")))</f>
        <v/>
      </c>
      <c r="AE19" s="6" t="n"/>
      <c r="AF19" s="6" t="n"/>
      <c r="AG19" s="6" t="n"/>
      <c r="AH19" s="5" t="n"/>
    </row>
    <row r="20" ht="20" customHeight="1">
      <c r="A20" s="5" t="n"/>
      <c r="B20" s="6" t="n"/>
      <c r="C20" s="6" t="n"/>
      <c r="D20" s="7" t="n"/>
      <c r="E20" s="5" t="n"/>
      <c r="F20" s="6" t="n"/>
      <c r="G20" s="6" t="n"/>
      <c r="H20" s="6" t="n"/>
      <c r="I20" s="6" t="n"/>
      <c r="J20" s="5" t="n"/>
      <c r="K20" s="7" t="n"/>
      <c r="L20" s="6" t="n"/>
      <c r="M20" s="8" t="n"/>
      <c r="N20" s="8" t="n"/>
      <c r="O20" s="9">
        <f>IF(OR(M20="",N20="",N20=0),"",M20/N20)</f>
        <v/>
      </c>
      <c r="P20" s="10" t="n"/>
      <c r="Q20" s="10" t="n"/>
      <c r="R20" s="11">
        <f>IF(OR(M20="",P20=""),"",M20*P20)</f>
        <v/>
      </c>
      <c r="S20" s="11">
        <f>IF(OR(M20="",Q20=""),"",M20*Q20)</f>
        <v/>
      </c>
      <c r="T20" s="11">
        <f>IF(OR(R20="",S20=""),"",R20+S20)</f>
        <v/>
      </c>
      <c r="U20" s="11">
        <f>IF(OR(L20="",M20="",P20="",Q20=""),"",IF(UPPER(L20)="SHORT",(P20-Q20)*M20,(Q20-P20)*M20))</f>
        <v/>
      </c>
      <c r="V20" s="10" t="n"/>
      <c r="W20" s="10" t="n"/>
      <c r="X20" s="10" t="n"/>
      <c r="Y20" s="10" t="n"/>
      <c r="Z20" s="10" t="n"/>
      <c r="AA20" s="10" t="n"/>
      <c r="AB20" s="11">
        <f>IF(COUNTA(V20:AA20)=0,"",SUM(V20:AA20))</f>
        <v/>
      </c>
      <c r="AC20" s="11">
        <f>IF(U20="","",U20-IF(AB20="",0,AB20))</f>
        <v/>
      </c>
      <c r="AD20" s="12">
        <f>IF(AC20="","",IF(AC20&gt;0,"PROFIT",IF(AC20&lt;0,"LOSS","BREAKEVEN")))</f>
        <v/>
      </c>
      <c r="AE20" s="6" t="n"/>
      <c r="AF20" s="6" t="n"/>
      <c r="AG20" s="6" t="n"/>
      <c r="AH20" s="5" t="n"/>
    </row>
    <row r="21" ht="20" customHeight="1">
      <c r="A21" s="5" t="n"/>
      <c r="B21" s="6" t="n"/>
      <c r="C21" s="6" t="n"/>
      <c r="D21" s="7" t="n"/>
      <c r="E21" s="5" t="n"/>
      <c r="F21" s="6" t="n"/>
      <c r="G21" s="6" t="n"/>
      <c r="H21" s="6" t="n"/>
      <c r="I21" s="6" t="n"/>
      <c r="J21" s="5" t="n"/>
      <c r="K21" s="7" t="n"/>
      <c r="L21" s="6" t="n"/>
      <c r="M21" s="8" t="n"/>
      <c r="N21" s="8" t="n"/>
      <c r="O21" s="9">
        <f>IF(OR(M21="",N21="",N21=0),"",M21/N21)</f>
        <v/>
      </c>
      <c r="P21" s="10" t="n"/>
      <c r="Q21" s="10" t="n"/>
      <c r="R21" s="11">
        <f>IF(OR(M21="",P21=""),"",M21*P21)</f>
        <v/>
      </c>
      <c r="S21" s="11">
        <f>IF(OR(M21="",Q21=""),"",M21*Q21)</f>
        <v/>
      </c>
      <c r="T21" s="11">
        <f>IF(OR(R21="",S21=""),"",R21+S21)</f>
        <v/>
      </c>
      <c r="U21" s="11">
        <f>IF(OR(L21="",M21="",P21="",Q21=""),"",IF(UPPER(L21)="SHORT",(P21-Q21)*M21,(Q21-P21)*M21))</f>
        <v/>
      </c>
      <c r="V21" s="10" t="n"/>
      <c r="W21" s="10" t="n"/>
      <c r="X21" s="10" t="n"/>
      <c r="Y21" s="10" t="n"/>
      <c r="Z21" s="10" t="n"/>
      <c r="AA21" s="10" t="n"/>
      <c r="AB21" s="11">
        <f>IF(COUNTA(V21:AA21)=0,"",SUM(V21:AA21))</f>
        <v/>
      </c>
      <c r="AC21" s="11">
        <f>IF(U21="","",U21-IF(AB21="",0,AB21))</f>
        <v/>
      </c>
      <c r="AD21" s="12">
        <f>IF(AC21="","",IF(AC21&gt;0,"PROFIT",IF(AC21&lt;0,"LOSS","BREAKEVEN")))</f>
        <v/>
      </c>
      <c r="AE21" s="6" t="n"/>
      <c r="AF21" s="6" t="n"/>
      <c r="AG21" s="6" t="n"/>
      <c r="AH21" s="5" t="n"/>
    </row>
    <row r="22" ht="20" customHeight="1">
      <c r="A22" s="5" t="n"/>
      <c r="B22" s="6" t="n"/>
      <c r="C22" s="6" t="n"/>
      <c r="D22" s="7" t="n"/>
      <c r="E22" s="5" t="n"/>
      <c r="F22" s="6" t="n"/>
      <c r="G22" s="6" t="n"/>
      <c r="H22" s="6" t="n"/>
      <c r="I22" s="6" t="n"/>
      <c r="J22" s="5" t="n"/>
      <c r="K22" s="7" t="n"/>
      <c r="L22" s="6" t="n"/>
      <c r="M22" s="8" t="n"/>
      <c r="N22" s="8" t="n"/>
      <c r="O22" s="9">
        <f>IF(OR(M22="",N22="",N22=0),"",M22/N22)</f>
        <v/>
      </c>
      <c r="P22" s="10" t="n"/>
      <c r="Q22" s="10" t="n"/>
      <c r="R22" s="11">
        <f>IF(OR(M22="",P22=""),"",M22*P22)</f>
        <v/>
      </c>
      <c r="S22" s="11">
        <f>IF(OR(M22="",Q22=""),"",M22*Q22)</f>
        <v/>
      </c>
      <c r="T22" s="11">
        <f>IF(OR(R22="",S22=""),"",R22+S22)</f>
        <v/>
      </c>
      <c r="U22" s="11">
        <f>IF(OR(L22="",M22="",P22="",Q22=""),"",IF(UPPER(L22)="SHORT",(P22-Q22)*M22,(Q22-P22)*M22))</f>
        <v/>
      </c>
      <c r="V22" s="10" t="n"/>
      <c r="W22" s="10" t="n"/>
      <c r="X22" s="10" t="n"/>
      <c r="Y22" s="10" t="n"/>
      <c r="Z22" s="10" t="n"/>
      <c r="AA22" s="10" t="n"/>
      <c r="AB22" s="11">
        <f>IF(COUNTA(V22:AA22)=0,"",SUM(V22:AA22))</f>
        <v/>
      </c>
      <c r="AC22" s="11">
        <f>IF(U22="","",U22-IF(AB22="",0,AB22))</f>
        <v/>
      </c>
      <c r="AD22" s="12">
        <f>IF(AC22="","",IF(AC22&gt;0,"PROFIT",IF(AC22&lt;0,"LOSS","BREAKEVEN")))</f>
        <v/>
      </c>
      <c r="AE22" s="6" t="n"/>
      <c r="AF22" s="6" t="n"/>
      <c r="AG22" s="6" t="n"/>
      <c r="AH22" s="5" t="n"/>
    </row>
    <row r="23" ht="20" customHeight="1">
      <c r="A23" s="5" t="n"/>
      <c r="B23" s="6" t="n"/>
      <c r="C23" s="6" t="n"/>
      <c r="D23" s="7" t="n"/>
      <c r="E23" s="5" t="n"/>
      <c r="F23" s="6" t="n"/>
      <c r="G23" s="6" t="n"/>
      <c r="H23" s="6" t="n"/>
      <c r="I23" s="6" t="n"/>
      <c r="J23" s="5" t="n"/>
      <c r="K23" s="7" t="n"/>
      <c r="L23" s="6" t="n"/>
      <c r="M23" s="8" t="n"/>
      <c r="N23" s="8" t="n"/>
      <c r="O23" s="9">
        <f>IF(OR(M23="",N23="",N23=0),"",M23/N23)</f>
        <v/>
      </c>
      <c r="P23" s="10" t="n"/>
      <c r="Q23" s="10" t="n"/>
      <c r="R23" s="11">
        <f>IF(OR(M23="",P23=""),"",M23*P23)</f>
        <v/>
      </c>
      <c r="S23" s="11">
        <f>IF(OR(M23="",Q23=""),"",M23*Q23)</f>
        <v/>
      </c>
      <c r="T23" s="11">
        <f>IF(OR(R23="",S23=""),"",R23+S23)</f>
        <v/>
      </c>
      <c r="U23" s="11">
        <f>IF(OR(L23="",M23="",P23="",Q23=""),"",IF(UPPER(L23)="SHORT",(P23-Q23)*M23,(Q23-P23)*M23))</f>
        <v/>
      </c>
      <c r="V23" s="10" t="n"/>
      <c r="W23" s="10" t="n"/>
      <c r="X23" s="10" t="n"/>
      <c r="Y23" s="10" t="n"/>
      <c r="Z23" s="10" t="n"/>
      <c r="AA23" s="10" t="n"/>
      <c r="AB23" s="11">
        <f>IF(COUNTA(V23:AA23)=0,"",SUM(V23:AA23))</f>
        <v/>
      </c>
      <c r="AC23" s="11">
        <f>IF(U23="","",U23-IF(AB23="",0,AB23))</f>
        <v/>
      </c>
      <c r="AD23" s="12">
        <f>IF(AC23="","",IF(AC23&gt;0,"PROFIT",IF(AC23&lt;0,"LOSS","BREAKEVEN")))</f>
        <v/>
      </c>
      <c r="AE23" s="6" t="n"/>
      <c r="AF23" s="6" t="n"/>
      <c r="AG23" s="6" t="n"/>
      <c r="AH23" s="5" t="n"/>
    </row>
    <row r="24" ht="20" customHeight="1">
      <c r="A24" s="5" t="n"/>
      <c r="B24" s="6" t="n"/>
      <c r="C24" s="6" t="n"/>
      <c r="D24" s="7" t="n"/>
      <c r="E24" s="5" t="n"/>
      <c r="F24" s="6" t="n"/>
      <c r="G24" s="6" t="n"/>
      <c r="H24" s="6" t="n"/>
      <c r="I24" s="6" t="n"/>
      <c r="J24" s="5" t="n"/>
      <c r="K24" s="7" t="n"/>
      <c r="L24" s="6" t="n"/>
      <c r="M24" s="8" t="n"/>
      <c r="N24" s="8" t="n"/>
      <c r="O24" s="9">
        <f>IF(OR(M24="",N24="",N24=0),"",M24/N24)</f>
        <v/>
      </c>
      <c r="P24" s="10" t="n"/>
      <c r="Q24" s="10" t="n"/>
      <c r="R24" s="11">
        <f>IF(OR(M24="",P24=""),"",M24*P24)</f>
        <v/>
      </c>
      <c r="S24" s="11">
        <f>IF(OR(M24="",Q24=""),"",M24*Q24)</f>
        <v/>
      </c>
      <c r="T24" s="11">
        <f>IF(OR(R24="",S24=""),"",R24+S24)</f>
        <v/>
      </c>
      <c r="U24" s="11">
        <f>IF(OR(L24="",M24="",P24="",Q24=""),"",IF(UPPER(L24)="SHORT",(P24-Q24)*M24,(Q24-P24)*M24))</f>
        <v/>
      </c>
      <c r="V24" s="10" t="n"/>
      <c r="W24" s="10" t="n"/>
      <c r="X24" s="10" t="n"/>
      <c r="Y24" s="10" t="n"/>
      <c r="Z24" s="10" t="n"/>
      <c r="AA24" s="10" t="n"/>
      <c r="AB24" s="11">
        <f>IF(COUNTA(V24:AA24)=0,"",SUM(V24:AA24))</f>
        <v/>
      </c>
      <c r="AC24" s="11">
        <f>IF(U24="","",U24-IF(AB24="",0,AB24))</f>
        <v/>
      </c>
      <c r="AD24" s="12">
        <f>IF(AC24="","",IF(AC24&gt;0,"PROFIT",IF(AC24&lt;0,"LOSS","BREAKEVEN")))</f>
        <v/>
      </c>
      <c r="AE24" s="6" t="n"/>
      <c r="AF24" s="6" t="n"/>
      <c r="AG24" s="6" t="n"/>
      <c r="AH24" s="5" t="n"/>
    </row>
    <row r="25" ht="20" customHeight="1">
      <c r="A25" s="5" t="n"/>
      <c r="B25" s="6" t="n"/>
      <c r="C25" s="6" t="n"/>
      <c r="D25" s="7" t="n"/>
      <c r="E25" s="5" t="n"/>
      <c r="F25" s="6" t="n"/>
      <c r="G25" s="6" t="n"/>
      <c r="H25" s="6" t="n"/>
      <c r="I25" s="6" t="n"/>
      <c r="J25" s="5" t="n"/>
      <c r="K25" s="7" t="n"/>
      <c r="L25" s="6" t="n"/>
      <c r="M25" s="8" t="n"/>
      <c r="N25" s="8" t="n"/>
      <c r="O25" s="9">
        <f>IF(OR(M25="",N25="",N25=0),"",M25/N25)</f>
        <v/>
      </c>
      <c r="P25" s="10" t="n"/>
      <c r="Q25" s="10" t="n"/>
      <c r="R25" s="11">
        <f>IF(OR(M25="",P25=""),"",M25*P25)</f>
        <v/>
      </c>
      <c r="S25" s="11">
        <f>IF(OR(M25="",Q25=""),"",M25*Q25)</f>
        <v/>
      </c>
      <c r="T25" s="11">
        <f>IF(OR(R25="",S25=""),"",R25+S25)</f>
        <v/>
      </c>
      <c r="U25" s="11">
        <f>IF(OR(L25="",M25="",P25="",Q25=""),"",IF(UPPER(L25)="SHORT",(P25-Q25)*M25,(Q25-P25)*M25))</f>
        <v/>
      </c>
      <c r="V25" s="10" t="n"/>
      <c r="W25" s="10" t="n"/>
      <c r="X25" s="10" t="n"/>
      <c r="Y25" s="10" t="n"/>
      <c r="Z25" s="10" t="n"/>
      <c r="AA25" s="10" t="n"/>
      <c r="AB25" s="11">
        <f>IF(COUNTA(V25:AA25)=0,"",SUM(V25:AA25))</f>
        <v/>
      </c>
      <c r="AC25" s="11">
        <f>IF(U25="","",U25-IF(AB25="",0,AB25))</f>
        <v/>
      </c>
      <c r="AD25" s="12">
        <f>IF(AC25="","",IF(AC25&gt;0,"PROFIT",IF(AC25&lt;0,"LOSS","BREAKEVEN")))</f>
        <v/>
      </c>
      <c r="AE25" s="6" t="n"/>
      <c r="AF25" s="6" t="n"/>
      <c r="AG25" s="6" t="n"/>
      <c r="AH25" s="5" t="n"/>
    </row>
    <row r="26" ht="20" customHeight="1">
      <c r="A26" s="5" t="n"/>
      <c r="B26" s="6" t="n"/>
      <c r="C26" s="6" t="n"/>
      <c r="D26" s="7" t="n"/>
      <c r="E26" s="5" t="n"/>
      <c r="F26" s="6" t="n"/>
      <c r="G26" s="6" t="n"/>
      <c r="H26" s="6" t="n"/>
      <c r="I26" s="6" t="n"/>
      <c r="J26" s="5" t="n"/>
      <c r="K26" s="7" t="n"/>
      <c r="L26" s="6" t="n"/>
      <c r="M26" s="8" t="n"/>
      <c r="N26" s="8" t="n"/>
      <c r="O26" s="9">
        <f>IF(OR(M26="",N26="",N26=0),"",M26/N26)</f>
        <v/>
      </c>
      <c r="P26" s="10" t="n"/>
      <c r="Q26" s="10" t="n"/>
      <c r="R26" s="11">
        <f>IF(OR(M26="",P26=""),"",M26*P26)</f>
        <v/>
      </c>
      <c r="S26" s="11">
        <f>IF(OR(M26="",Q26=""),"",M26*Q26)</f>
        <v/>
      </c>
      <c r="T26" s="11">
        <f>IF(OR(R26="",S26=""),"",R26+S26)</f>
        <v/>
      </c>
      <c r="U26" s="11">
        <f>IF(OR(L26="",M26="",P26="",Q26=""),"",IF(UPPER(L26)="SHORT",(P26-Q26)*M26,(Q26-P26)*M26))</f>
        <v/>
      </c>
      <c r="V26" s="10" t="n"/>
      <c r="W26" s="10" t="n"/>
      <c r="X26" s="10" t="n"/>
      <c r="Y26" s="10" t="n"/>
      <c r="Z26" s="10" t="n"/>
      <c r="AA26" s="10" t="n"/>
      <c r="AB26" s="11">
        <f>IF(COUNTA(V26:AA26)=0,"",SUM(V26:AA26))</f>
        <v/>
      </c>
      <c r="AC26" s="11">
        <f>IF(U26="","",U26-IF(AB26="",0,AB26))</f>
        <v/>
      </c>
      <c r="AD26" s="12">
        <f>IF(AC26="","",IF(AC26&gt;0,"PROFIT",IF(AC26&lt;0,"LOSS","BREAKEVEN")))</f>
        <v/>
      </c>
      <c r="AE26" s="6" t="n"/>
      <c r="AF26" s="6" t="n"/>
      <c r="AG26" s="6" t="n"/>
      <c r="AH26" s="5" t="n"/>
    </row>
    <row r="27" ht="20" customHeight="1">
      <c r="A27" s="5" t="n"/>
      <c r="B27" s="6" t="n"/>
      <c r="C27" s="6" t="n"/>
      <c r="D27" s="7" t="n"/>
      <c r="E27" s="5" t="n"/>
      <c r="F27" s="6" t="n"/>
      <c r="G27" s="6" t="n"/>
      <c r="H27" s="6" t="n"/>
      <c r="I27" s="6" t="n"/>
      <c r="J27" s="5" t="n"/>
      <c r="K27" s="7" t="n"/>
      <c r="L27" s="6" t="n"/>
      <c r="M27" s="8" t="n"/>
      <c r="N27" s="8" t="n"/>
      <c r="O27" s="9">
        <f>IF(OR(M27="",N27="",N27=0),"",M27/N27)</f>
        <v/>
      </c>
      <c r="P27" s="10" t="n"/>
      <c r="Q27" s="10" t="n"/>
      <c r="R27" s="11">
        <f>IF(OR(M27="",P27=""),"",M27*P27)</f>
        <v/>
      </c>
      <c r="S27" s="11">
        <f>IF(OR(M27="",Q27=""),"",M27*Q27)</f>
        <v/>
      </c>
      <c r="T27" s="11">
        <f>IF(OR(R27="",S27=""),"",R27+S27)</f>
        <v/>
      </c>
      <c r="U27" s="11">
        <f>IF(OR(L27="",M27="",P27="",Q27=""),"",IF(UPPER(L27)="SHORT",(P27-Q27)*M27,(Q27-P27)*M27))</f>
        <v/>
      </c>
      <c r="V27" s="10" t="n"/>
      <c r="W27" s="10" t="n"/>
      <c r="X27" s="10" t="n"/>
      <c r="Y27" s="10" t="n"/>
      <c r="Z27" s="10" t="n"/>
      <c r="AA27" s="10" t="n"/>
      <c r="AB27" s="11">
        <f>IF(COUNTA(V27:AA27)=0,"",SUM(V27:AA27))</f>
        <v/>
      </c>
      <c r="AC27" s="11">
        <f>IF(U27="","",U27-IF(AB27="",0,AB27))</f>
        <v/>
      </c>
      <c r="AD27" s="12">
        <f>IF(AC27="","",IF(AC27&gt;0,"PROFIT",IF(AC27&lt;0,"LOSS","BREAKEVEN")))</f>
        <v/>
      </c>
      <c r="AE27" s="6" t="n"/>
      <c r="AF27" s="6" t="n"/>
      <c r="AG27" s="6" t="n"/>
      <c r="AH27" s="5" t="n"/>
    </row>
    <row r="28" ht="20" customHeight="1">
      <c r="A28" s="5" t="n"/>
      <c r="B28" s="6" t="n"/>
      <c r="C28" s="6" t="n"/>
      <c r="D28" s="7" t="n"/>
      <c r="E28" s="5" t="n"/>
      <c r="F28" s="6" t="n"/>
      <c r="G28" s="6" t="n"/>
      <c r="H28" s="6" t="n"/>
      <c r="I28" s="6" t="n"/>
      <c r="J28" s="5" t="n"/>
      <c r="K28" s="7" t="n"/>
      <c r="L28" s="6" t="n"/>
      <c r="M28" s="8" t="n"/>
      <c r="N28" s="8" t="n"/>
      <c r="O28" s="9">
        <f>IF(OR(M28="",N28="",N28=0),"",M28/N28)</f>
        <v/>
      </c>
      <c r="P28" s="10" t="n"/>
      <c r="Q28" s="10" t="n"/>
      <c r="R28" s="11">
        <f>IF(OR(M28="",P28=""),"",M28*P28)</f>
        <v/>
      </c>
      <c r="S28" s="11">
        <f>IF(OR(M28="",Q28=""),"",M28*Q28)</f>
        <v/>
      </c>
      <c r="T28" s="11">
        <f>IF(OR(R28="",S28=""),"",R28+S28)</f>
        <v/>
      </c>
      <c r="U28" s="11">
        <f>IF(OR(L28="",M28="",P28="",Q28=""),"",IF(UPPER(L28)="SHORT",(P28-Q28)*M28,(Q28-P28)*M28))</f>
        <v/>
      </c>
      <c r="V28" s="10" t="n"/>
      <c r="W28" s="10" t="n"/>
      <c r="X28" s="10" t="n"/>
      <c r="Y28" s="10" t="n"/>
      <c r="Z28" s="10" t="n"/>
      <c r="AA28" s="10" t="n"/>
      <c r="AB28" s="11">
        <f>IF(COUNTA(V28:AA28)=0,"",SUM(V28:AA28))</f>
        <v/>
      </c>
      <c r="AC28" s="11">
        <f>IF(U28="","",U28-IF(AB28="",0,AB28))</f>
        <v/>
      </c>
      <c r="AD28" s="12">
        <f>IF(AC28="","",IF(AC28&gt;0,"PROFIT",IF(AC28&lt;0,"LOSS","BREAKEVEN")))</f>
        <v/>
      </c>
      <c r="AE28" s="6" t="n"/>
      <c r="AF28" s="6" t="n"/>
      <c r="AG28" s="6" t="n"/>
      <c r="AH28" s="5" t="n"/>
    </row>
    <row r="29" ht="20" customHeight="1">
      <c r="A29" s="5" t="n"/>
      <c r="B29" s="6" t="n"/>
      <c r="C29" s="6" t="n"/>
      <c r="D29" s="7" t="n"/>
      <c r="E29" s="5" t="n"/>
      <c r="F29" s="6" t="n"/>
      <c r="G29" s="6" t="n"/>
      <c r="H29" s="6" t="n"/>
      <c r="I29" s="6" t="n"/>
      <c r="J29" s="5" t="n"/>
      <c r="K29" s="7" t="n"/>
      <c r="L29" s="6" t="n"/>
      <c r="M29" s="8" t="n"/>
      <c r="N29" s="8" t="n"/>
      <c r="O29" s="9">
        <f>IF(OR(M29="",N29="",N29=0),"",M29/N29)</f>
        <v/>
      </c>
      <c r="P29" s="10" t="n"/>
      <c r="Q29" s="10" t="n"/>
      <c r="R29" s="11">
        <f>IF(OR(M29="",P29=""),"",M29*P29)</f>
        <v/>
      </c>
      <c r="S29" s="11">
        <f>IF(OR(M29="",Q29=""),"",M29*Q29)</f>
        <v/>
      </c>
      <c r="T29" s="11">
        <f>IF(OR(R29="",S29=""),"",R29+S29)</f>
        <v/>
      </c>
      <c r="U29" s="11">
        <f>IF(OR(L29="",M29="",P29="",Q29=""),"",IF(UPPER(L29)="SHORT",(P29-Q29)*M29,(Q29-P29)*M29))</f>
        <v/>
      </c>
      <c r="V29" s="10" t="n"/>
      <c r="W29" s="10" t="n"/>
      <c r="X29" s="10" t="n"/>
      <c r="Y29" s="10" t="n"/>
      <c r="Z29" s="10" t="n"/>
      <c r="AA29" s="10" t="n"/>
      <c r="AB29" s="11">
        <f>IF(COUNTA(V29:AA29)=0,"",SUM(V29:AA29))</f>
        <v/>
      </c>
      <c r="AC29" s="11">
        <f>IF(U29="","",U29-IF(AB29="",0,AB29))</f>
        <v/>
      </c>
      <c r="AD29" s="12">
        <f>IF(AC29="","",IF(AC29&gt;0,"PROFIT",IF(AC29&lt;0,"LOSS","BREAKEVEN")))</f>
        <v/>
      </c>
      <c r="AE29" s="6" t="n"/>
      <c r="AF29" s="6" t="n"/>
      <c r="AG29" s="6" t="n"/>
      <c r="AH29" s="5" t="n"/>
    </row>
    <row r="30" ht="20" customHeight="1">
      <c r="A30" s="5" t="n"/>
      <c r="B30" s="6" t="n"/>
      <c r="C30" s="6" t="n"/>
      <c r="D30" s="7" t="n"/>
      <c r="E30" s="5" t="n"/>
      <c r="F30" s="6" t="n"/>
      <c r="G30" s="6" t="n"/>
      <c r="H30" s="6" t="n"/>
      <c r="I30" s="6" t="n"/>
      <c r="J30" s="5" t="n"/>
      <c r="K30" s="7" t="n"/>
      <c r="L30" s="6" t="n"/>
      <c r="M30" s="8" t="n"/>
      <c r="N30" s="8" t="n"/>
      <c r="O30" s="9">
        <f>IF(OR(M30="",N30="",N30=0),"",M30/N30)</f>
        <v/>
      </c>
      <c r="P30" s="10" t="n"/>
      <c r="Q30" s="10" t="n"/>
      <c r="R30" s="11">
        <f>IF(OR(M30="",P30=""),"",M30*P30)</f>
        <v/>
      </c>
      <c r="S30" s="11">
        <f>IF(OR(M30="",Q30=""),"",M30*Q30)</f>
        <v/>
      </c>
      <c r="T30" s="11">
        <f>IF(OR(R30="",S30=""),"",R30+S30)</f>
        <v/>
      </c>
      <c r="U30" s="11">
        <f>IF(OR(L30="",M30="",P30="",Q30=""),"",IF(UPPER(L30)="SHORT",(P30-Q30)*M30,(Q30-P30)*M30))</f>
        <v/>
      </c>
      <c r="V30" s="10" t="n"/>
      <c r="W30" s="10" t="n"/>
      <c r="X30" s="10" t="n"/>
      <c r="Y30" s="10" t="n"/>
      <c r="Z30" s="10" t="n"/>
      <c r="AA30" s="10" t="n"/>
      <c r="AB30" s="11">
        <f>IF(COUNTA(V30:AA30)=0,"",SUM(V30:AA30))</f>
        <v/>
      </c>
      <c r="AC30" s="11">
        <f>IF(U30="","",U30-IF(AB30="",0,AB30))</f>
        <v/>
      </c>
      <c r="AD30" s="12">
        <f>IF(AC30="","",IF(AC30&gt;0,"PROFIT",IF(AC30&lt;0,"LOSS","BREAKEVEN")))</f>
        <v/>
      </c>
      <c r="AE30" s="6" t="n"/>
      <c r="AF30" s="6" t="n"/>
      <c r="AG30" s="6" t="n"/>
      <c r="AH30" s="5" t="n"/>
    </row>
    <row r="31" ht="20" customHeight="1">
      <c r="A31" s="5" t="n"/>
      <c r="B31" s="6" t="n"/>
      <c r="C31" s="6" t="n"/>
      <c r="D31" s="7" t="n"/>
      <c r="E31" s="5" t="n"/>
      <c r="F31" s="6" t="n"/>
      <c r="G31" s="6" t="n"/>
      <c r="H31" s="6" t="n"/>
      <c r="I31" s="6" t="n"/>
      <c r="J31" s="5" t="n"/>
      <c r="K31" s="7" t="n"/>
      <c r="L31" s="6" t="n"/>
      <c r="M31" s="8" t="n"/>
      <c r="N31" s="8" t="n"/>
      <c r="O31" s="9">
        <f>IF(OR(M31="",N31="",N31=0),"",M31/N31)</f>
        <v/>
      </c>
      <c r="P31" s="10" t="n"/>
      <c r="Q31" s="10" t="n"/>
      <c r="R31" s="11">
        <f>IF(OR(M31="",P31=""),"",M31*P31)</f>
        <v/>
      </c>
      <c r="S31" s="11">
        <f>IF(OR(M31="",Q31=""),"",M31*Q31)</f>
        <v/>
      </c>
      <c r="T31" s="11">
        <f>IF(OR(R31="",S31=""),"",R31+S31)</f>
        <v/>
      </c>
      <c r="U31" s="11">
        <f>IF(OR(L31="",M31="",P31="",Q31=""),"",IF(UPPER(L31)="SHORT",(P31-Q31)*M31,(Q31-P31)*M31))</f>
        <v/>
      </c>
      <c r="V31" s="10" t="n"/>
      <c r="W31" s="10" t="n"/>
      <c r="X31" s="10" t="n"/>
      <c r="Y31" s="10" t="n"/>
      <c r="Z31" s="10" t="n"/>
      <c r="AA31" s="10" t="n"/>
      <c r="AB31" s="11">
        <f>IF(COUNTA(V31:AA31)=0,"",SUM(V31:AA31))</f>
        <v/>
      </c>
      <c r="AC31" s="11">
        <f>IF(U31="","",U31-IF(AB31="",0,AB31))</f>
        <v/>
      </c>
      <c r="AD31" s="12">
        <f>IF(AC31="","",IF(AC31&gt;0,"PROFIT",IF(AC31&lt;0,"LOSS","BREAKEVEN")))</f>
        <v/>
      </c>
      <c r="AE31" s="6" t="n"/>
      <c r="AF31" s="6" t="n"/>
      <c r="AG31" s="6" t="n"/>
      <c r="AH31" s="5" t="n"/>
    </row>
    <row r="32" ht="20" customHeight="1">
      <c r="A32" s="5" t="n"/>
      <c r="B32" s="6" t="n"/>
      <c r="C32" s="6" t="n"/>
      <c r="D32" s="7" t="n"/>
      <c r="E32" s="5" t="n"/>
      <c r="F32" s="6" t="n"/>
      <c r="G32" s="6" t="n"/>
      <c r="H32" s="6" t="n"/>
      <c r="I32" s="6" t="n"/>
      <c r="J32" s="5" t="n"/>
      <c r="K32" s="7" t="n"/>
      <c r="L32" s="6" t="n"/>
      <c r="M32" s="8" t="n"/>
      <c r="N32" s="8" t="n"/>
      <c r="O32" s="9">
        <f>IF(OR(M32="",N32="",N32=0),"",M32/N32)</f>
        <v/>
      </c>
      <c r="P32" s="10" t="n"/>
      <c r="Q32" s="10" t="n"/>
      <c r="R32" s="11">
        <f>IF(OR(M32="",P32=""),"",M32*P32)</f>
        <v/>
      </c>
      <c r="S32" s="11">
        <f>IF(OR(M32="",Q32=""),"",M32*Q32)</f>
        <v/>
      </c>
      <c r="T32" s="11">
        <f>IF(OR(R32="",S32=""),"",R32+S32)</f>
        <v/>
      </c>
      <c r="U32" s="11">
        <f>IF(OR(L32="",M32="",P32="",Q32=""),"",IF(UPPER(L32)="SHORT",(P32-Q32)*M32,(Q32-P32)*M32))</f>
        <v/>
      </c>
      <c r="V32" s="10" t="n"/>
      <c r="W32" s="10" t="n"/>
      <c r="X32" s="10" t="n"/>
      <c r="Y32" s="10" t="n"/>
      <c r="Z32" s="10" t="n"/>
      <c r="AA32" s="10" t="n"/>
      <c r="AB32" s="11">
        <f>IF(COUNTA(V32:AA32)=0,"",SUM(V32:AA32))</f>
        <v/>
      </c>
      <c r="AC32" s="11">
        <f>IF(U32="","",U32-IF(AB32="",0,AB32))</f>
        <v/>
      </c>
      <c r="AD32" s="12">
        <f>IF(AC32="","",IF(AC32&gt;0,"PROFIT",IF(AC32&lt;0,"LOSS","BREAKEVEN")))</f>
        <v/>
      </c>
      <c r="AE32" s="6" t="n"/>
      <c r="AF32" s="6" t="n"/>
      <c r="AG32" s="6" t="n"/>
      <c r="AH32" s="5" t="n"/>
    </row>
    <row r="33" ht="20" customHeight="1">
      <c r="A33" s="5" t="n"/>
      <c r="B33" s="6" t="n"/>
      <c r="C33" s="6" t="n"/>
      <c r="D33" s="7" t="n"/>
      <c r="E33" s="5" t="n"/>
      <c r="F33" s="6" t="n"/>
      <c r="G33" s="6" t="n"/>
      <c r="H33" s="6" t="n"/>
      <c r="I33" s="6" t="n"/>
      <c r="J33" s="5" t="n"/>
      <c r="K33" s="7" t="n"/>
      <c r="L33" s="6" t="n"/>
      <c r="M33" s="8" t="n"/>
      <c r="N33" s="8" t="n"/>
      <c r="O33" s="9">
        <f>IF(OR(M33="",N33="",N33=0),"",M33/N33)</f>
        <v/>
      </c>
      <c r="P33" s="10" t="n"/>
      <c r="Q33" s="10" t="n"/>
      <c r="R33" s="11">
        <f>IF(OR(M33="",P33=""),"",M33*P33)</f>
        <v/>
      </c>
      <c r="S33" s="11">
        <f>IF(OR(M33="",Q33=""),"",M33*Q33)</f>
        <v/>
      </c>
      <c r="T33" s="11">
        <f>IF(OR(R33="",S33=""),"",R33+S33)</f>
        <v/>
      </c>
      <c r="U33" s="11">
        <f>IF(OR(L33="",M33="",P33="",Q33=""),"",IF(UPPER(L33)="SHORT",(P33-Q33)*M33,(Q33-P33)*M33))</f>
        <v/>
      </c>
      <c r="V33" s="10" t="n"/>
      <c r="W33" s="10" t="n"/>
      <c r="X33" s="10" t="n"/>
      <c r="Y33" s="10" t="n"/>
      <c r="Z33" s="10" t="n"/>
      <c r="AA33" s="10" t="n"/>
      <c r="AB33" s="11">
        <f>IF(COUNTA(V33:AA33)=0,"",SUM(V33:AA33))</f>
        <v/>
      </c>
      <c r="AC33" s="11">
        <f>IF(U33="","",U33-IF(AB33="",0,AB33))</f>
        <v/>
      </c>
      <c r="AD33" s="12">
        <f>IF(AC33="","",IF(AC33&gt;0,"PROFIT",IF(AC33&lt;0,"LOSS","BREAKEVEN")))</f>
        <v/>
      </c>
      <c r="AE33" s="6" t="n"/>
      <c r="AF33" s="6" t="n"/>
      <c r="AG33" s="6" t="n"/>
      <c r="AH33" s="5" t="n"/>
    </row>
    <row r="34" ht="20" customHeight="1">
      <c r="A34" s="5" t="n"/>
      <c r="B34" s="6" t="n"/>
      <c r="C34" s="6" t="n"/>
      <c r="D34" s="7" t="n"/>
      <c r="E34" s="5" t="n"/>
      <c r="F34" s="6" t="n"/>
      <c r="G34" s="6" t="n"/>
      <c r="H34" s="6" t="n"/>
      <c r="I34" s="6" t="n"/>
      <c r="J34" s="5" t="n"/>
      <c r="K34" s="7" t="n"/>
      <c r="L34" s="6" t="n"/>
      <c r="M34" s="8" t="n"/>
      <c r="N34" s="8" t="n"/>
      <c r="O34" s="9">
        <f>IF(OR(M34="",N34="",N34=0),"",M34/N34)</f>
        <v/>
      </c>
      <c r="P34" s="10" t="n"/>
      <c r="Q34" s="10" t="n"/>
      <c r="R34" s="11">
        <f>IF(OR(M34="",P34=""),"",M34*P34)</f>
        <v/>
      </c>
      <c r="S34" s="11">
        <f>IF(OR(M34="",Q34=""),"",M34*Q34)</f>
        <v/>
      </c>
      <c r="T34" s="11">
        <f>IF(OR(R34="",S34=""),"",R34+S34)</f>
        <v/>
      </c>
      <c r="U34" s="11">
        <f>IF(OR(L34="",M34="",P34="",Q34=""),"",IF(UPPER(L34)="SHORT",(P34-Q34)*M34,(Q34-P34)*M34))</f>
        <v/>
      </c>
      <c r="V34" s="10" t="n"/>
      <c r="W34" s="10" t="n"/>
      <c r="X34" s="10" t="n"/>
      <c r="Y34" s="10" t="n"/>
      <c r="Z34" s="10" t="n"/>
      <c r="AA34" s="10" t="n"/>
      <c r="AB34" s="11">
        <f>IF(COUNTA(V34:AA34)=0,"",SUM(V34:AA34))</f>
        <v/>
      </c>
      <c r="AC34" s="11">
        <f>IF(U34="","",U34-IF(AB34="",0,AB34))</f>
        <v/>
      </c>
      <c r="AD34" s="12">
        <f>IF(AC34="","",IF(AC34&gt;0,"PROFIT",IF(AC34&lt;0,"LOSS","BREAKEVEN")))</f>
        <v/>
      </c>
      <c r="AE34" s="6" t="n"/>
      <c r="AF34" s="6" t="n"/>
      <c r="AG34" s="6" t="n"/>
      <c r="AH34" s="5" t="n"/>
    </row>
    <row r="35" ht="20" customHeight="1">
      <c r="A35" s="5" t="n"/>
      <c r="B35" s="6" t="n"/>
      <c r="C35" s="6" t="n"/>
      <c r="D35" s="7" t="n"/>
      <c r="E35" s="5" t="n"/>
      <c r="F35" s="6" t="n"/>
      <c r="G35" s="6" t="n"/>
      <c r="H35" s="6" t="n"/>
      <c r="I35" s="6" t="n"/>
      <c r="J35" s="5" t="n"/>
      <c r="K35" s="7" t="n"/>
      <c r="L35" s="6" t="n"/>
      <c r="M35" s="8" t="n"/>
      <c r="N35" s="8" t="n"/>
      <c r="O35" s="9">
        <f>IF(OR(M35="",N35="",N35=0),"",M35/N35)</f>
        <v/>
      </c>
      <c r="P35" s="10" t="n"/>
      <c r="Q35" s="10" t="n"/>
      <c r="R35" s="11">
        <f>IF(OR(M35="",P35=""),"",M35*P35)</f>
        <v/>
      </c>
      <c r="S35" s="11">
        <f>IF(OR(M35="",Q35=""),"",M35*Q35)</f>
        <v/>
      </c>
      <c r="T35" s="11">
        <f>IF(OR(R35="",S35=""),"",R35+S35)</f>
        <v/>
      </c>
      <c r="U35" s="11">
        <f>IF(OR(L35="",M35="",P35="",Q35=""),"",IF(UPPER(L35)="SHORT",(P35-Q35)*M35,(Q35-P35)*M35))</f>
        <v/>
      </c>
      <c r="V35" s="10" t="n"/>
      <c r="W35" s="10" t="n"/>
      <c r="X35" s="10" t="n"/>
      <c r="Y35" s="10" t="n"/>
      <c r="Z35" s="10" t="n"/>
      <c r="AA35" s="10" t="n"/>
      <c r="AB35" s="11">
        <f>IF(COUNTA(V35:AA35)=0,"",SUM(V35:AA35))</f>
        <v/>
      </c>
      <c r="AC35" s="11">
        <f>IF(U35="","",U35-IF(AB35="",0,AB35))</f>
        <v/>
      </c>
      <c r="AD35" s="12">
        <f>IF(AC35="","",IF(AC35&gt;0,"PROFIT",IF(AC35&lt;0,"LOSS","BREAKEVEN")))</f>
        <v/>
      </c>
      <c r="AE35" s="6" t="n"/>
      <c r="AF35" s="6" t="n"/>
      <c r="AG35" s="6" t="n"/>
      <c r="AH35" s="5" t="n"/>
    </row>
    <row r="36" ht="20" customHeight="1">
      <c r="A36" s="5" t="n"/>
      <c r="B36" s="6" t="n"/>
      <c r="C36" s="6" t="n"/>
      <c r="D36" s="7" t="n"/>
      <c r="E36" s="5" t="n"/>
      <c r="F36" s="6" t="n"/>
      <c r="G36" s="6" t="n"/>
      <c r="H36" s="6" t="n"/>
      <c r="I36" s="6" t="n"/>
      <c r="J36" s="5" t="n"/>
      <c r="K36" s="7" t="n"/>
      <c r="L36" s="6" t="n"/>
      <c r="M36" s="8" t="n"/>
      <c r="N36" s="8" t="n"/>
      <c r="O36" s="9">
        <f>IF(OR(M36="",N36="",N36=0),"",M36/N36)</f>
        <v/>
      </c>
      <c r="P36" s="10" t="n"/>
      <c r="Q36" s="10" t="n"/>
      <c r="R36" s="11">
        <f>IF(OR(M36="",P36=""),"",M36*P36)</f>
        <v/>
      </c>
      <c r="S36" s="11">
        <f>IF(OR(M36="",Q36=""),"",M36*Q36)</f>
        <v/>
      </c>
      <c r="T36" s="11">
        <f>IF(OR(R36="",S36=""),"",R36+S36)</f>
        <v/>
      </c>
      <c r="U36" s="11">
        <f>IF(OR(L36="",M36="",P36="",Q36=""),"",IF(UPPER(L36)="SHORT",(P36-Q36)*M36,(Q36-P36)*M36))</f>
        <v/>
      </c>
      <c r="V36" s="10" t="n"/>
      <c r="W36" s="10" t="n"/>
      <c r="X36" s="10" t="n"/>
      <c r="Y36" s="10" t="n"/>
      <c r="Z36" s="10" t="n"/>
      <c r="AA36" s="10" t="n"/>
      <c r="AB36" s="11">
        <f>IF(COUNTA(V36:AA36)=0,"",SUM(V36:AA36))</f>
        <v/>
      </c>
      <c r="AC36" s="11">
        <f>IF(U36="","",U36-IF(AB36="",0,AB36))</f>
        <v/>
      </c>
      <c r="AD36" s="12">
        <f>IF(AC36="","",IF(AC36&gt;0,"PROFIT",IF(AC36&lt;0,"LOSS","BREAKEVEN")))</f>
        <v/>
      </c>
      <c r="AE36" s="6" t="n"/>
      <c r="AF36" s="6" t="n"/>
      <c r="AG36" s="6" t="n"/>
      <c r="AH36" s="5" t="n"/>
    </row>
    <row r="37" ht="20" customHeight="1">
      <c r="A37" s="5" t="n"/>
      <c r="B37" s="6" t="n"/>
      <c r="C37" s="6" t="n"/>
      <c r="D37" s="7" t="n"/>
      <c r="E37" s="5" t="n"/>
      <c r="F37" s="6" t="n"/>
      <c r="G37" s="6" t="n"/>
      <c r="H37" s="6" t="n"/>
      <c r="I37" s="6" t="n"/>
      <c r="J37" s="5" t="n"/>
      <c r="K37" s="7" t="n"/>
      <c r="L37" s="6" t="n"/>
      <c r="M37" s="8" t="n"/>
      <c r="N37" s="8" t="n"/>
      <c r="O37" s="9">
        <f>IF(OR(M37="",N37="",N37=0),"",M37/N37)</f>
        <v/>
      </c>
      <c r="P37" s="10" t="n"/>
      <c r="Q37" s="10" t="n"/>
      <c r="R37" s="11">
        <f>IF(OR(M37="",P37=""),"",M37*P37)</f>
        <v/>
      </c>
      <c r="S37" s="11">
        <f>IF(OR(M37="",Q37=""),"",M37*Q37)</f>
        <v/>
      </c>
      <c r="T37" s="11">
        <f>IF(OR(R37="",S37=""),"",R37+S37)</f>
        <v/>
      </c>
      <c r="U37" s="11">
        <f>IF(OR(L37="",M37="",P37="",Q37=""),"",IF(UPPER(L37)="SHORT",(P37-Q37)*M37,(Q37-P37)*M37))</f>
        <v/>
      </c>
      <c r="V37" s="10" t="n"/>
      <c r="W37" s="10" t="n"/>
      <c r="X37" s="10" t="n"/>
      <c r="Y37" s="10" t="n"/>
      <c r="Z37" s="10" t="n"/>
      <c r="AA37" s="10" t="n"/>
      <c r="AB37" s="11">
        <f>IF(COUNTA(V37:AA37)=0,"",SUM(V37:AA37))</f>
        <v/>
      </c>
      <c r="AC37" s="11">
        <f>IF(U37="","",U37-IF(AB37="",0,AB37))</f>
        <v/>
      </c>
      <c r="AD37" s="12">
        <f>IF(AC37="","",IF(AC37&gt;0,"PROFIT",IF(AC37&lt;0,"LOSS","BREAKEVEN")))</f>
        <v/>
      </c>
      <c r="AE37" s="6" t="n"/>
      <c r="AF37" s="6" t="n"/>
      <c r="AG37" s="6" t="n"/>
      <c r="AH37" s="5" t="n"/>
    </row>
    <row r="38" ht="20" customHeight="1">
      <c r="A38" s="5" t="n"/>
      <c r="B38" s="6" t="n"/>
      <c r="C38" s="6" t="n"/>
      <c r="D38" s="7" t="n"/>
      <c r="E38" s="5" t="n"/>
      <c r="F38" s="6" t="n"/>
      <c r="G38" s="6" t="n"/>
      <c r="H38" s="6" t="n"/>
      <c r="I38" s="6" t="n"/>
      <c r="J38" s="5" t="n"/>
      <c r="K38" s="7" t="n"/>
      <c r="L38" s="6" t="n"/>
      <c r="M38" s="8" t="n"/>
      <c r="N38" s="8" t="n"/>
      <c r="O38" s="9">
        <f>IF(OR(M38="",N38="",N38=0),"",M38/N38)</f>
        <v/>
      </c>
      <c r="P38" s="10" t="n"/>
      <c r="Q38" s="10" t="n"/>
      <c r="R38" s="11">
        <f>IF(OR(M38="",P38=""),"",M38*P38)</f>
        <v/>
      </c>
      <c r="S38" s="11">
        <f>IF(OR(M38="",Q38=""),"",M38*Q38)</f>
        <v/>
      </c>
      <c r="T38" s="11">
        <f>IF(OR(R38="",S38=""),"",R38+S38)</f>
        <v/>
      </c>
      <c r="U38" s="11">
        <f>IF(OR(L38="",M38="",P38="",Q38=""),"",IF(UPPER(L38)="SHORT",(P38-Q38)*M38,(Q38-P38)*M38))</f>
        <v/>
      </c>
      <c r="V38" s="10" t="n"/>
      <c r="W38" s="10" t="n"/>
      <c r="X38" s="10" t="n"/>
      <c r="Y38" s="10" t="n"/>
      <c r="Z38" s="10" t="n"/>
      <c r="AA38" s="10" t="n"/>
      <c r="AB38" s="11">
        <f>IF(COUNTA(V38:AA38)=0,"",SUM(V38:AA38))</f>
        <v/>
      </c>
      <c r="AC38" s="11">
        <f>IF(U38="","",U38-IF(AB38="",0,AB38))</f>
        <v/>
      </c>
      <c r="AD38" s="12">
        <f>IF(AC38="","",IF(AC38&gt;0,"PROFIT",IF(AC38&lt;0,"LOSS","BREAKEVEN")))</f>
        <v/>
      </c>
      <c r="AE38" s="6" t="n"/>
      <c r="AF38" s="6" t="n"/>
      <c r="AG38" s="6" t="n"/>
      <c r="AH38" s="5" t="n"/>
    </row>
    <row r="39" ht="20" customHeight="1">
      <c r="A39" s="5" t="n"/>
      <c r="B39" s="6" t="n"/>
      <c r="C39" s="6" t="n"/>
      <c r="D39" s="7" t="n"/>
      <c r="E39" s="5" t="n"/>
      <c r="F39" s="6" t="n"/>
      <c r="G39" s="6" t="n"/>
      <c r="H39" s="6" t="n"/>
      <c r="I39" s="6" t="n"/>
      <c r="J39" s="5" t="n"/>
      <c r="K39" s="7" t="n"/>
      <c r="L39" s="6" t="n"/>
      <c r="M39" s="8" t="n"/>
      <c r="N39" s="8" t="n"/>
      <c r="O39" s="9">
        <f>IF(OR(M39="",N39="",N39=0),"",M39/N39)</f>
        <v/>
      </c>
      <c r="P39" s="10" t="n"/>
      <c r="Q39" s="10" t="n"/>
      <c r="R39" s="11">
        <f>IF(OR(M39="",P39=""),"",M39*P39)</f>
        <v/>
      </c>
      <c r="S39" s="11">
        <f>IF(OR(M39="",Q39=""),"",M39*Q39)</f>
        <v/>
      </c>
      <c r="T39" s="11">
        <f>IF(OR(R39="",S39=""),"",R39+S39)</f>
        <v/>
      </c>
      <c r="U39" s="11">
        <f>IF(OR(L39="",M39="",P39="",Q39=""),"",IF(UPPER(L39)="SHORT",(P39-Q39)*M39,(Q39-P39)*M39))</f>
        <v/>
      </c>
      <c r="V39" s="10" t="n"/>
      <c r="W39" s="10" t="n"/>
      <c r="X39" s="10" t="n"/>
      <c r="Y39" s="10" t="n"/>
      <c r="Z39" s="10" t="n"/>
      <c r="AA39" s="10" t="n"/>
      <c r="AB39" s="11">
        <f>IF(COUNTA(V39:AA39)=0,"",SUM(V39:AA39))</f>
        <v/>
      </c>
      <c r="AC39" s="11">
        <f>IF(U39="","",U39-IF(AB39="",0,AB39))</f>
        <v/>
      </c>
      <c r="AD39" s="12">
        <f>IF(AC39="","",IF(AC39&gt;0,"PROFIT",IF(AC39&lt;0,"LOSS","BREAKEVEN")))</f>
        <v/>
      </c>
      <c r="AE39" s="6" t="n"/>
      <c r="AF39" s="6" t="n"/>
      <c r="AG39" s="6" t="n"/>
      <c r="AH39" s="5" t="n"/>
    </row>
    <row r="40" ht="20" customHeight="1">
      <c r="A40" s="5" t="n"/>
      <c r="B40" s="6" t="n"/>
      <c r="C40" s="6" t="n"/>
      <c r="D40" s="7" t="n"/>
      <c r="E40" s="5" t="n"/>
      <c r="F40" s="6" t="n"/>
      <c r="G40" s="6" t="n"/>
      <c r="H40" s="6" t="n"/>
      <c r="I40" s="6" t="n"/>
      <c r="J40" s="5" t="n"/>
      <c r="K40" s="7" t="n"/>
      <c r="L40" s="6" t="n"/>
      <c r="M40" s="8" t="n"/>
      <c r="N40" s="8" t="n"/>
      <c r="O40" s="9">
        <f>IF(OR(M40="",N40="",N40=0),"",M40/N40)</f>
        <v/>
      </c>
      <c r="P40" s="10" t="n"/>
      <c r="Q40" s="10" t="n"/>
      <c r="R40" s="11">
        <f>IF(OR(M40="",P40=""),"",M40*P40)</f>
        <v/>
      </c>
      <c r="S40" s="11">
        <f>IF(OR(M40="",Q40=""),"",M40*Q40)</f>
        <v/>
      </c>
      <c r="T40" s="11">
        <f>IF(OR(R40="",S40=""),"",R40+S40)</f>
        <v/>
      </c>
      <c r="U40" s="11">
        <f>IF(OR(L40="",M40="",P40="",Q40=""),"",IF(UPPER(L40)="SHORT",(P40-Q40)*M40,(Q40-P40)*M40))</f>
        <v/>
      </c>
      <c r="V40" s="10" t="n"/>
      <c r="W40" s="10" t="n"/>
      <c r="X40" s="10" t="n"/>
      <c r="Y40" s="10" t="n"/>
      <c r="Z40" s="10" t="n"/>
      <c r="AA40" s="10" t="n"/>
      <c r="AB40" s="11">
        <f>IF(COUNTA(V40:AA40)=0,"",SUM(V40:AA40))</f>
        <v/>
      </c>
      <c r="AC40" s="11">
        <f>IF(U40="","",U40-IF(AB40="",0,AB40))</f>
        <v/>
      </c>
      <c r="AD40" s="12">
        <f>IF(AC40="","",IF(AC40&gt;0,"PROFIT",IF(AC40&lt;0,"LOSS","BREAKEVEN")))</f>
        <v/>
      </c>
      <c r="AE40" s="6" t="n"/>
      <c r="AF40" s="6" t="n"/>
      <c r="AG40" s="6" t="n"/>
      <c r="AH40" s="5" t="n"/>
    </row>
    <row r="41" ht="20" customHeight="1">
      <c r="A41" s="5" t="n"/>
      <c r="B41" s="6" t="n"/>
      <c r="C41" s="6" t="n"/>
      <c r="D41" s="7" t="n"/>
      <c r="E41" s="5" t="n"/>
      <c r="F41" s="6" t="n"/>
      <c r="G41" s="6" t="n"/>
      <c r="H41" s="6" t="n"/>
      <c r="I41" s="6" t="n"/>
      <c r="J41" s="5" t="n"/>
      <c r="K41" s="7" t="n"/>
      <c r="L41" s="6" t="n"/>
      <c r="M41" s="8" t="n"/>
      <c r="N41" s="8" t="n"/>
      <c r="O41" s="9">
        <f>IF(OR(M41="",N41="",N41=0),"",M41/N41)</f>
        <v/>
      </c>
      <c r="P41" s="10" t="n"/>
      <c r="Q41" s="10" t="n"/>
      <c r="R41" s="11">
        <f>IF(OR(M41="",P41=""),"",M41*P41)</f>
        <v/>
      </c>
      <c r="S41" s="11">
        <f>IF(OR(M41="",Q41=""),"",M41*Q41)</f>
        <v/>
      </c>
      <c r="T41" s="11">
        <f>IF(OR(R41="",S41=""),"",R41+S41)</f>
        <v/>
      </c>
      <c r="U41" s="11">
        <f>IF(OR(L41="",M41="",P41="",Q41=""),"",IF(UPPER(L41)="SHORT",(P41-Q41)*M41,(Q41-P41)*M41))</f>
        <v/>
      </c>
      <c r="V41" s="10" t="n"/>
      <c r="W41" s="10" t="n"/>
      <c r="X41" s="10" t="n"/>
      <c r="Y41" s="10" t="n"/>
      <c r="Z41" s="10" t="n"/>
      <c r="AA41" s="10" t="n"/>
      <c r="AB41" s="11">
        <f>IF(COUNTA(V41:AA41)=0,"",SUM(V41:AA41))</f>
        <v/>
      </c>
      <c r="AC41" s="11">
        <f>IF(U41="","",U41-IF(AB41="",0,AB41))</f>
        <v/>
      </c>
      <c r="AD41" s="12">
        <f>IF(AC41="","",IF(AC41&gt;0,"PROFIT",IF(AC41&lt;0,"LOSS","BREAKEVEN")))</f>
        <v/>
      </c>
      <c r="AE41" s="6" t="n"/>
      <c r="AF41" s="6" t="n"/>
      <c r="AG41" s="6" t="n"/>
      <c r="AH41" s="5" t="n"/>
    </row>
    <row r="42" ht="20" customHeight="1">
      <c r="A42" s="5" t="n"/>
      <c r="B42" s="6" t="n"/>
      <c r="C42" s="6" t="n"/>
      <c r="D42" s="7" t="n"/>
      <c r="E42" s="5" t="n"/>
      <c r="F42" s="6" t="n"/>
      <c r="G42" s="6" t="n"/>
      <c r="H42" s="6" t="n"/>
      <c r="I42" s="6" t="n"/>
      <c r="J42" s="5" t="n"/>
      <c r="K42" s="7" t="n"/>
      <c r="L42" s="6" t="n"/>
      <c r="M42" s="8" t="n"/>
      <c r="N42" s="8" t="n"/>
      <c r="O42" s="9">
        <f>IF(OR(M42="",N42="",N42=0),"",M42/N42)</f>
        <v/>
      </c>
      <c r="P42" s="10" t="n"/>
      <c r="Q42" s="10" t="n"/>
      <c r="R42" s="11">
        <f>IF(OR(M42="",P42=""),"",M42*P42)</f>
        <v/>
      </c>
      <c r="S42" s="11">
        <f>IF(OR(M42="",Q42=""),"",M42*Q42)</f>
        <v/>
      </c>
      <c r="T42" s="11">
        <f>IF(OR(R42="",S42=""),"",R42+S42)</f>
        <v/>
      </c>
      <c r="U42" s="11">
        <f>IF(OR(L42="",M42="",P42="",Q42=""),"",IF(UPPER(L42)="SHORT",(P42-Q42)*M42,(Q42-P42)*M42))</f>
        <v/>
      </c>
      <c r="V42" s="10" t="n"/>
      <c r="W42" s="10" t="n"/>
      <c r="X42" s="10" t="n"/>
      <c r="Y42" s="10" t="n"/>
      <c r="Z42" s="10" t="n"/>
      <c r="AA42" s="10" t="n"/>
      <c r="AB42" s="11">
        <f>IF(COUNTA(V42:AA42)=0,"",SUM(V42:AA42))</f>
        <v/>
      </c>
      <c r="AC42" s="11">
        <f>IF(U42="","",U42-IF(AB42="",0,AB42))</f>
        <v/>
      </c>
      <c r="AD42" s="12">
        <f>IF(AC42="","",IF(AC42&gt;0,"PROFIT",IF(AC42&lt;0,"LOSS","BREAKEVEN")))</f>
        <v/>
      </c>
      <c r="AE42" s="6" t="n"/>
      <c r="AF42" s="6" t="n"/>
      <c r="AG42" s="6" t="n"/>
      <c r="AH42" s="5" t="n"/>
    </row>
    <row r="43" ht="20" customHeight="1">
      <c r="A43" s="5" t="n"/>
      <c r="B43" s="6" t="n"/>
      <c r="C43" s="6" t="n"/>
      <c r="D43" s="7" t="n"/>
      <c r="E43" s="5" t="n"/>
      <c r="F43" s="6" t="n"/>
      <c r="G43" s="6" t="n"/>
      <c r="H43" s="6" t="n"/>
      <c r="I43" s="6" t="n"/>
      <c r="J43" s="5" t="n"/>
      <c r="K43" s="7" t="n"/>
      <c r="L43" s="6" t="n"/>
      <c r="M43" s="8" t="n"/>
      <c r="N43" s="8" t="n"/>
      <c r="O43" s="9">
        <f>IF(OR(M43="",N43="",N43=0),"",M43/N43)</f>
        <v/>
      </c>
      <c r="P43" s="10" t="n"/>
      <c r="Q43" s="10" t="n"/>
      <c r="R43" s="11">
        <f>IF(OR(M43="",P43=""),"",M43*P43)</f>
        <v/>
      </c>
      <c r="S43" s="11">
        <f>IF(OR(M43="",Q43=""),"",M43*Q43)</f>
        <v/>
      </c>
      <c r="T43" s="11">
        <f>IF(OR(R43="",S43=""),"",R43+S43)</f>
        <v/>
      </c>
      <c r="U43" s="11">
        <f>IF(OR(L43="",M43="",P43="",Q43=""),"",IF(UPPER(L43)="SHORT",(P43-Q43)*M43,(Q43-P43)*M43))</f>
        <v/>
      </c>
      <c r="V43" s="10" t="n"/>
      <c r="W43" s="10" t="n"/>
      <c r="X43" s="10" t="n"/>
      <c r="Y43" s="10" t="n"/>
      <c r="Z43" s="10" t="n"/>
      <c r="AA43" s="10" t="n"/>
      <c r="AB43" s="11">
        <f>IF(COUNTA(V43:AA43)=0,"",SUM(V43:AA43))</f>
        <v/>
      </c>
      <c r="AC43" s="11">
        <f>IF(U43="","",U43-IF(AB43="",0,AB43))</f>
        <v/>
      </c>
      <c r="AD43" s="12">
        <f>IF(AC43="","",IF(AC43&gt;0,"PROFIT",IF(AC43&lt;0,"LOSS","BREAKEVEN")))</f>
        <v/>
      </c>
      <c r="AE43" s="6" t="n"/>
      <c r="AF43" s="6" t="n"/>
      <c r="AG43" s="6" t="n"/>
      <c r="AH43" s="5" t="n"/>
    </row>
    <row r="44" ht="20" customHeight="1">
      <c r="A44" s="5" t="n"/>
      <c r="B44" s="6" t="n"/>
      <c r="C44" s="6" t="n"/>
      <c r="D44" s="7" t="n"/>
      <c r="E44" s="5" t="n"/>
      <c r="F44" s="6" t="n"/>
      <c r="G44" s="6" t="n"/>
      <c r="H44" s="6" t="n"/>
      <c r="I44" s="6" t="n"/>
      <c r="J44" s="5" t="n"/>
      <c r="K44" s="7" t="n"/>
      <c r="L44" s="6" t="n"/>
      <c r="M44" s="8" t="n"/>
      <c r="N44" s="8" t="n"/>
      <c r="O44" s="9">
        <f>IF(OR(M44="",N44="",N44=0),"",M44/N44)</f>
        <v/>
      </c>
      <c r="P44" s="10" t="n"/>
      <c r="Q44" s="10" t="n"/>
      <c r="R44" s="11">
        <f>IF(OR(M44="",P44=""),"",M44*P44)</f>
        <v/>
      </c>
      <c r="S44" s="11">
        <f>IF(OR(M44="",Q44=""),"",M44*Q44)</f>
        <v/>
      </c>
      <c r="T44" s="11">
        <f>IF(OR(R44="",S44=""),"",R44+S44)</f>
        <v/>
      </c>
      <c r="U44" s="11">
        <f>IF(OR(L44="",M44="",P44="",Q44=""),"",IF(UPPER(L44)="SHORT",(P44-Q44)*M44,(Q44-P44)*M44))</f>
        <v/>
      </c>
      <c r="V44" s="10" t="n"/>
      <c r="W44" s="10" t="n"/>
      <c r="X44" s="10" t="n"/>
      <c r="Y44" s="10" t="n"/>
      <c r="Z44" s="10" t="n"/>
      <c r="AA44" s="10" t="n"/>
      <c r="AB44" s="11">
        <f>IF(COUNTA(V44:AA44)=0,"",SUM(V44:AA44))</f>
        <v/>
      </c>
      <c r="AC44" s="11">
        <f>IF(U44="","",U44-IF(AB44="",0,AB44))</f>
        <v/>
      </c>
      <c r="AD44" s="12">
        <f>IF(AC44="","",IF(AC44&gt;0,"PROFIT",IF(AC44&lt;0,"LOSS","BREAKEVEN")))</f>
        <v/>
      </c>
      <c r="AE44" s="6" t="n"/>
      <c r="AF44" s="6" t="n"/>
      <c r="AG44" s="6" t="n"/>
      <c r="AH44" s="5" t="n"/>
    </row>
    <row r="45" ht="20" customHeight="1">
      <c r="A45" s="5" t="n"/>
      <c r="B45" s="6" t="n"/>
      <c r="C45" s="6" t="n"/>
      <c r="D45" s="7" t="n"/>
      <c r="E45" s="5" t="n"/>
      <c r="F45" s="6" t="n"/>
      <c r="G45" s="6" t="n"/>
      <c r="H45" s="6" t="n"/>
      <c r="I45" s="6" t="n"/>
      <c r="J45" s="5" t="n"/>
      <c r="K45" s="7" t="n"/>
      <c r="L45" s="6" t="n"/>
      <c r="M45" s="8" t="n"/>
      <c r="N45" s="8" t="n"/>
      <c r="O45" s="9">
        <f>IF(OR(M45="",N45="",N45=0),"",M45/N45)</f>
        <v/>
      </c>
      <c r="P45" s="10" t="n"/>
      <c r="Q45" s="10" t="n"/>
      <c r="R45" s="11">
        <f>IF(OR(M45="",P45=""),"",M45*P45)</f>
        <v/>
      </c>
      <c r="S45" s="11">
        <f>IF(OR(M45="",Q45=""),"",M45*Q45)</f>
        <v/>
      </c>
      <c r="T45" s="11">
        <f>IF(OR(R45="",S45=""),"",R45+S45)</f>
        <v/>
      </c>
      <c r="U45" s="11">
        <f>IF(OR(L45="",M45="",P45="",Q45=""),"",IF(UPPER(L45)="SHORT",(P45-Q45)*M45,(Q45-P45)*M45))</f>
        <v/>
      </c>
      <c r="V45" s="10" t="n"/>
      <c r="W45" s="10" t="n"/>
      <c r="X45" s="10" t="n"/>
      <c r="Y45" s="10" t="n"/>
      <c r="Z45" s="10" t="n"/>
      <c r="AA45" s="10" t="n"/>
      <c r="AB45" s="11">
        <f>IF(COUNTA(V45:AA45)=0,"",SUM(V45:AA45))</f>
        <v/>
      </c>
      <c r="AC45" s="11">
        <f>IF(U45="","",U45-IF(AB45="",0,AB45))</f>
        <v/>
      </c>
      <c r="AD45" s="12">
        <f>IF(AC45="","",IF(AC45&gt;0,"PROFIT",IF(AC45&lt;0,"LOSS","BREAKEVEN")))</f>
        <v/>
      </c>
      <c r="AE45" s="6" t="n"/>
      <c r="AF45" s="6" t="n"/>
      <c r="AG45" s="6" t="n"/>
      <c r="AH45" s="5" t="n"/>
    </row>
    <row r="46" ht="20" customHeight="1">
      <c r="A46" s="5" t="n"/>
      <c r="B46" s="6" t="n"/>
      <c r="C46" s="6" t="n"/>
      <c r="D46" s="7" t="n"/>
      <c r="E46" s="5" t="n"/>
      <c r="F46" s="6" t="n"/>
      <c r="G46" s="6" t="n"/>
      <c r="H46" s="6" t="n"/>
      <c r="I46" s="6" t="n"/>
      <c r="J46" s="5" t="n"/>
      <c r="K46" s="7" t="n"/>
      <c r="L46" s="6" t="n"/>
      <c r="M46" s="8" t="n"/>
      <c r="N46" s="8" t="n"/>
      <c r="O46" s="9">
        <f>IF(OR(M46="",N46="",N46=0),"",M46/N46)</f>
        <v/>
      </c>
      <c r="P46" s="10" t="n"/>
      <c r="Q46" s="10" t="n"/>
      <c r="R46" s="11">
        <f>IF(OR(M46="",P46=""),"",M46*P46)</f>
        <v/>
      </c>
      <c r="S46" s="11">
        <f>IF(OR(M46="",Q46=""),"",M46*Q46)</f>
        <v/>
      </c>
      <c r="T46" s="11">
        <f>IF(OR(R46="",S46=""),"",R46+S46)</f>
        <v/>
      </c>
      <c r="U46" s="11">
        <f>IF(OR(L46="",M46="",P46="",Q46=""),"",IF(UPPER(L46)="SHORT",(P46-Q46)*M46,(Q46-P46)*M46))</f>
        <v/>
      </c>
      <c r="V46" s="10" t="n"/>
      <c r="W46" s="10" t="n"/>
      <c r="X46" s="10" t="n"/>
      <c r="Y46" s="10" t="n"/>
      <c r="Z46" s="10" t="n"/>
      <c r="AA46" s="10" t="n"/>
      <c r="AB46" s="11">
        <f>IF(COUNTA(V46:AA46)=0,"",SUM(V46:AA46))</f>
        <v/>
      </c>
      <c r="AC46" s="11">
        <f>IF(U46="","",U46-IF(AB46="",0,AB46))</f>
        <v/>
      </c>
      <c r="AD46" s="12">
        <f>IF(AC46="","",IF(AC46&gt;0,"PROFIT",IF(AC46&lt;0,"LOSS","BREAKEVEN")))</f>
        <v/>
      </c>
      <c r="AE46" s="6" t="n"/>
      <c r="AF46" s="6" t="n"/>
      <c r="AG46" s="6" t="n"/>
      <c r="AH46" s="5" t="n"/>
    </row>
    <row r="47" ht="20" customHeight="1">
      <c r="A47" s="5" t="n"/>
      <c r="B47" s="6" t="n"/>
      <c r="C47" s="6" t="n"/>
      <c r="D47" s="7" t="n"/>
      <c r="E47" s="5" t="n"/>
      <c r="F47" s="6" t="n"/>
      <c r="G47" s="6" t="n"/>
      <c r="H47" s="6" t="n"/>
      <c r="I47" s="6" t="n"/>
      <c r="J47" s="5" t="n"/>
      <c r="K47" s="7" t="n"/>
      <c r="L47" s="6" t="n"/>
      <c r="M47" s="8" t="n"/>
      <c r="N47" s="8" t="n"/>
      <c r="O47" s="9">
        <f>IF(OR(M47="",N47="",N47=0),"",M47/N47)</f>
        <v/>
      </c>
      <c r="P47" s="10" t="n"/>
      <c r="Q47" s="10" t="n"/>
      <c r="R47" s="11">
        <f>IF(OR(M47="",P47=""),"",M47*P47)</f>
        <v/>
      </c>
      <c r="S47" s="11">
        <f>IF(OR(M47="",Q47=""),"",M47*Q47)</f>
        <v/>
      </c>
      <c r="T47" s="11">
        <f>IF(OR(R47="",S47=""),"",R47+S47)</f>
        <v/>
      </c>
      <c r="U47" s="11">
        <f>IF(OR(L47="",M47="",P47="",Q47=""),"",IF(UPPER(L47)="SHORT",(P47-Q47)*M47,(Q47-P47)*M47))</f>
        <v/>
      </c>
      <c r="V47" s="10" t="n"/>
      <c r="W47" s="10" t="n"/>
      <c r="X47" s="10" t="n"/>
      <c r="Y47" s="10" t="n"/>
      <c r="Z47" s="10" t="n"/>
      <c r="AA47" s="10" t="n"/>
      <c r="AB47" s="11">
        <f>IF(COUNTA(V47:AA47)=0,"",SUM(V47:AA47))</f>
        <v/>
      </c>
      <c r="AC47" s="11">
        <f>IF(U47="","",U47-IF(AB47="",0,AB47))</f>
        <v/>
      </c>
      <c r="AD47" s="12">
        <f>IF(AC47="","",IF(AC47&gt;0,"PROFIT",IF(AC47&lt;0,"LOSS","BREAKEVEN")))</f>
        <v/>
      </c>
      <c r="AE47" s="6" t="n"/>
      <c r="AF47" s="6" t="n"/>
      <c r="AG47" s="6" t="n"/>
      <c r="AH47" s="5" t="n"/>
    </row>
    <row r="48" ht="20" customHeight="1">
      <c r="A48" s="5" t="n"/>
      <c r="B48" s="6" t="n"/>
      <c r="C48" s="6" t="n"/>
      <c r="D48" s="7" t="n"/>
      <c r="E48" s="5" t="n"/>
      <c r="F48" s="6" t="n"/>
      <c r="G48" s="6" t="n"/>
      <c r="H48" s="6" t="n"/>
      <c r="I48" s="6" t="n"/>
      <c r="J48" s="5" t="n"/>
      <c r="K48" s="7" t="n"/>
      <c r="L48" s="6" t="n"/>
      <c r="M48" s="8" t="n"/>
      <c r="N48" s="8" t="n"/>
      <c r="O48" s="9">
        <f>IF(OR(M48="",N48="",N48=0),"",M48/N48)</f>
        <v/>
      </c>
      <c r="P48" s="10" t="n"/>
      <c r="Q48" s="10" t="n"/>
      <c r="R48" s="11">
        <f>IF(OR(M48="",P48=""),"",M48*P48)</f>
        <v/>
      </c>
      <c r="S48" s="11">
        <f>IF(OR(M48="",Q48=""),"",M48*Q48)</f>
        <v/>
      </c>
      <c r="T48" s="11">
        <f>IF(OR(R48="",S48=""),"",R48+S48)</f>
        <v/>
      </c>
      <c r="U48" s="11">
        <f>IF(OR(L48="",M48="",P48="",Q48=""),"",IF(UPPER(L48)="SHORT",(P48-Q48)*M48,(Q48-P48)*M48))</f>
        <v/>
      </c>
      <c r="V48" s="10" t="n"/>
      <c r="W48" s="10" t="n"/>
      <c r="X48" s="10" t="n"/>
      <c r="Y48" s="10" t="n"/>
      <c r="Z48" s="10" t="n"/>
      <c r="AA48" s="10" t="n"/>
      <c r="AB48" s="11">
        <f>IF(COUNTA(V48:AA48)=0,"",SUM(V48:AA48))</f>
        <v/>
      </c>
      <c r="AC48" s="11">
        <f>IF(U48="","",U48-IF(AB48="",0,AB48))</f>
        <v/>
      </c>
      <c r="AD48" s="12">
        <f>IF(AC48="","",IF(AC48&gt;0,"PROFIT",IF(AC48&lt;0,"LOSS","BREAKEVEN")))</f>
        <v/>
      </c>
      <c r="AE48" s="6" t="n"/>
      <c r="AF48" s="6" t="n"/>
      <c r="AG48" s="6" t="n"/>
      <c r="AH48" s="5" t="n"/>
    </row>
    <row r="49" ht="20" customHeight="1">
      <c r="A49" s="5" t="n"/>
      <c r="B49" s="6" t="n"/>
      <c r="C49" s="6" t="n"/>
      <c r="D49" s="7" t="n"/>
      <c r="E49" s="5" t="n"/>
      <c r="F49" s="6" t="n"/>
      <c r="G49" s="6" t="n"/>
      <c r="H49" s="6" t="n"/>
      <c r="I49" s="6" t="n"/>
      <c r="J49" s="5" t="n"/>
      <c r="K49" s="7" t="n"/>
      <c r="L49" s="6" t="n"/>
      <c r="M49" s="8" t="n"/>
      <c r="N49" s="8" t="n"/>
      <c r="O49" s="9">
        <f>IF(OR(M49="",N49="",N49=0),"",M49/N49)</f>
        <v/>
      </c>
      <c r="P49" s="10" t="n"/>
      <c r="Q49" s="10" t="n"/>
      <c r="R49" s="11">
        <f>IF(OR(M49="",P49=""),"",M49*P49)</f>
        <v/>
      </c>
      <c r="S49" s="11">
        <f>IF(OR(M49="",Q49=""),"",M49*Q49)</f>
        <v/>
      </c>
      <c r="T49" s="11">
        <f>IF(OR(R49="",S49=""),"",R49+S49)</f>
        <v/>
      </c>
      <c r="U49" s="11">
        <f>IF(OR(L49="",M49="",P49="",Q49=""),"",IF(UPPER(L49)="SHORT",(P49-Q49)*M49,(Q49-P49)*M49))</f>
        <v/>
      </c>
      <c r="V49" s="10" t="n"/>
      <c r="W49" s="10" t="n"/>
      <c r="X49" s="10" t="n"/>
      <c r="Y49" s="10" t="n"/>
      <c r="Z49" s="10" t="n"/>
      <c r="AA49" s="10" t="n"/>
      <c r="AB49" s="11">
        <f>IF(COUNTA(V49:AA49)=0,"",SUM(V49:AA49))</f>
        <v/>
      </c>
      <c r="AC49" s="11">
        <f>IF(U49="","",U49-IF(AB49="",0,AB49))</f>
        <v/>
      </c>
      <c r="AD49" s="12">
        <f>IF(AC49="","",IF(AC49&gt;0,"PROFIT",IF(AC49&lt;0,"LOSS","BREAKEVEN")))</f>
        <v/>
      </c>
      <c r="AE49" s="6" t="n"/>
      <c r="AF49" s="6" t="n"/>
      <c r="AG49" s="6" t="n"/>
      <c r="AH49" s="5" t="n"/>
    </row>
    <row r="50" ht="20" customHeight="1">
      <c r="A50" s="5" t="n"/>
      <c r="B50" s="6" t="n"/>
      <c r="C50" s="6" t="n"/>
      <c r="D50" s="7" t="n"/>
      <c r="E50" s="5" t="n"/>
      <c r="F50" s="6" t="n"/>
      <c r="G50" s="6" t="n"/>
      <c r="H50" s="6" t="n"/>
      <c r="I50" s="6" t="n"/>
      <c r="J50" s="5" t="n"/>
      <c r="K50" s="7" t="n"/>
      <c r="L50" s="6" t="n"/>
      <c r="M50" s="8" t="n"/>
      <c r="N50" s="8" t="n"/>
      <c r="O50" s="9">
        <f>IF(OR(M50="",N50="",N50=0),"",M50/N50)</f>
        <v/>
      </c>
      <c r="P50" s="10" t="n"/>
      <c r="Q50" s="10" t="n"/>
      <c r="R50" s="11">
        <f>IF(OR(M50="",P50=""),"",M50*P50)</f>
        <v/>
      </c>
      <c r="S50" s="11">
        <f>IF(OR(M50="",Q50=""),"",M50*Q50)</f>
        <v/>
      </c>
      <c r="T50" s="11">
        <f>IF(OR(R50="",S50=""),"",R50+S50)</f>
        <v/>
      </c>
      <c r="U50" s="11">
        <f>IF(OR(L50="",M50="",P50="",Q50=""),"",IF(UPPER(L50)="SHORT",(P50-Q50)*M50,(Q50-P50)*M50))</f>
        <v/>
      </c>
      <c r="V50" s="10" t="n"/>
      <c r="W50" s="10" t="n"/>
      <c r="X50" s="10" t="n"/>
      <c r="Y50" s="10" t="n"/>
      <c r="Z50" s="10" t="n"/>
      <c r="AA50" s="10" t="n"/>
      <c r="AB50" s="11">
        <f>IF(COUNTA(V50:AA50)=0,"",SUM(V50:AA50))</f>
        <v/>
      </c>
      <c r="AC50" s="11">
        <f>IF(U50="","",U50-IF(AB50="",0,AB50))</f>
        <v/>
      </c>
      <c r="AD50" s="12">
        <f>IF(AC50="","",IF(AC50&gt;0,"PROFIT",IF(AC50&lt;0,"LOSS","BREAKEVEN")))</f>
        <v/>
      </c>
      <c r="AE50" s="6" t="n"/>
      <c r="AF50" s="6" t="n"/>
      <c r="AG50" s="6" t="n"/>
      <c r="AH50" s="5" t="n"/>
    </row>
    <row r="51" ht="20" customHeight="1">
      <c r="A51" s="5" t="n"/>
      <c r="B51" s="6" t="n"/>
      <c r="C51" s="6" t="n"/>
      <c r="D51" s="7" t="n"/>
      <c r="E51" s="5" t="n"/>
      <c r="F51" s="6" t="n"/>
      <c r="G51" s="6" t="n"/>
      <c r="H51" s="6" t="n"/>
      <c r="I51" s="6" t="n"/>
      <c r="J51" s="5" t="n"/>
      <c r="K51" s="7" t="n"/>
      <c r="L51" s="6" t="n"/>
      <c r="M51" s="8" t="n"/>
      <c r="N51" s="8" t="n"/>
      <c r="O51" s="9">
        <f>IF(OR(M51="",N51="",N51=0),"",M51/N51)</f>
        <v/>
      </c>
      <c r="P51" s="10" t="n"/>
      <c r="Q51" s="10" t="n"/>
      <c r="R51" s="11">
        <f>IF(OR(M51="",P51=""),"",M51*P51)</f>
        <v/>
      </c>
      <c r="S51" s="11">
        <f>IF(OR(M51="",Q51=""),"",M51*Q51)</f>
        <v/>
      </c>
      <c r="T51" s="11">
        <f>IF(OR(R51="",S51=""),"",R51+S51)</f>
        <v/>
      </c>
      <c r="U51" s="11">
        <f>IF(OR(L51="",M51="",P51="",Q51=""),"",IF(UPPER(L51)="SHORT",(P51-Q51)*M51,(Q51-P51)*M51))</f>
        <v/>
      </c>
      <c r="V51" s="10" t="n"/>
      <c r="W51" s="10" t="n"/>
      <c r="X51" s="10" t="n"/>
      <c r="Y51" s="10" t="n"/>
      <c r="Z51" s="10" t="n"/>
      <c r="AA51" s="10" t="n"/>
      <c r="AB51" s="11">
        <f>IF(COUNTA(V51:AA51)=0,"",SUM(V51:AA51))</f>
        <v/>
      </c>
      <c r="AC51" s="11">
        <f>IF(U51="","",U51-IF(AB51="",0,AB51))</f>
        <v/>
      </c>
      <c r="AD51" s="12">
        <f>IF(AC51="","",IF(AC51&gt;0,"PROFIT",IF(AC51&lt;0,"LOSS","BREAKEVEN")))</f>
        <v/>
      </c>
      <c r="AE51" s="6" t="n"/>
      <c r="AF51" s="6" t="n"/>
      <c r="AG51" s="6" t="n"/>
      <c r="AH51" s="5" t="n"/>
    </row>
    <row r="52" ht="20" customHeight="1">
      <c r="A52" s="5" t="n"/>
      <c r="B52" s="6" t="n"/>
      <c r="C52" s="6" t="n"/>
      <c r="D52" s="7" t="n"/>
      <c r="E52" s="5" t="n"/>
      <c r="F52" s="6" t="n"/>
      <c r="G52" s="6" t="n"/>
      <c r="H52" s="6" t="n"/>
      <c r="I52" s="6" t="n"/>
      <c r="J52" s="5" t="n"/>
      <c r="K52" s="7" t="n"/>
      <c r="L52" s="6" t="n"/>
      <c r="M52" s="8" t="n"/>
      <c r="N52" s="8" t="n"/>
      <c r="O52" s="9">
        <f>IF(OR(M52="",N52="",N52=0),"",M52/N52)</f>
        <v/>
      </c>
      <c r="P52" s="10" t="n"/>
      <c r="Q52" s="10" t="n"/>
      <c r="R52" s="11">
        <f>IF(OR(M52="",P52=""),"",M52*P52)</f>
        <v/>
      </c>
      <c r="S52" s="11">
        <f>IF(OR(M52="",Q52=""),"",M52*Q52)</f>
        <v/>
      </c>
      <c r="T52" s="11">
        <f>IF(OR(R52="",S52=""),"",R52+S52)</f>
        <v/>
      </c>
      <c r="U52" s="11">
        <f>IF(OR(L52="",M52="",P52="",Q52=""),"",IF(UPPER(L52)="SHORT",(P52-Q52)*M52,(Q52-P52)*M52))</f>
        <v/>
      </c>
      <c r="V52" s="10" t="n"/>
      <c r="W52" s="10" t="n"/>
      <c r="X52" s="10" t="n"/>
      <c r="Y52" s="10" t="n"/>
      <c r="Z52" s="10" t="n"/>
      <c r="AA52" s="10" t="n"/>
      <c r="AB52" s="11">
        <f>IF(COUNTA(V52:AA52)=0,"",SUM(V52:AA52))</f>
        <v/>
      </c>
      <c r="AC52" s="11">
        <f>IF(U52="","",U52-IF(AB52="",0,AB52))</f>
        <v/>
      </c>
      <c r="AD52" s="12">
        <f>IF(AC52="","",IF(AC52&gt;0,"PROFIT",IF(AC52&lt;0,"LOSS","BREAKEVEN")))</f>
        <v/>
      </c>
      <c r="AE52" s="6" t="n"/>
      <c r="AF52" s="6" t="n"/>
      <c r="AG52" s="6" t="n"/>
      <c r="AH52" s="5" t="n"/>
    </row>
    <row r="53" ht="20" customHeight="1">
      <c r="A53" s="5" t="n"/>
      <c r="B53" s="6" t="n"/>
      <c r="C53" s="6" t="n"/>
      <c r="D53" s="7" t="n"/>
      <c r="E53" s="5" t="n"/>
      <c r="F53" s="6" t="n"/>
      <c r="G53" s="6" t="n"/>
      <c r="H53" s="6" t="n"/>
      <c r="I53" s="6" t="n"/>
      <c r="J53" s="5" t="n"/>
      <c r="K53" s="7" t="n"/>
      <c r="L53" s="6" t="n"/>
      <c r="M53" s="8" t="n"/>
      <c r="N53" s="8" t="n"/>
      <c r="O53" s="9">
        <f>IF(OR(M53="",N53="",N53=0),"",M53/N53)</f>
        <v/>
      </c>
      <c r="P53" s="10" t="n"/>
      <c r="Q53" s="10" t="n"/>
      <c r="R53" s="11">
        <f>IF(OR(M53="",P53=""),"",M53*P53)</f>
        <v/>
      </c>
      <c r="S53" s="11">
        <f>IF(OR(M53="",Q53=""),"",M53*Q53)</f>
        <v/>
      </c>
      <c r="T53" s="11">
        <f>IF(OR(R53="",S53=""),"",R53+S53)</f>
        <v/>
      </c>
      <c r="U53" s="11">
        <f>IF(OR(L53="",M53="",P53="",Q53=""),"",IF(UPPER(L53)="SHORT",(P53-Q53)*M53,(Q53-P53)*M53))</f>
        <v/>
      </c>
      <c r="V53" s="10" t="n"/>
      <c r="W53" s="10" t="n"/>
      <c r="X53" s="10" t="n"/>
      <c r="Y53" s="10" t="n"/>
      <c r="Z53" s="10" t="n"/>
      <c r="AA53" s="10" t="n"/>
      <c r="AB53" s="11">
        <f>IF(COUNTA(V53:AA53)=0,"",SUM(V53:AA53))</f>
        <v/>
      </c>
      <c r="AC53" s="11">
        <f>IF(U53="","",U53-IF(AB53="",0,AB53))</f>
        <v/>
      </c>
      <c r="AD53" s="12">
        <f>IF(AC53="","",IF(AC53&gt;0,"PROFIT",IF(AC53&lt;0,"LOSS","BREAKEVEN")))</f>
        <v/>
      </c>
      <c r="AE53" s="6" t="n"/>
      <c r="AF53" s="6" t="n"/>
      <c r="AG53" s="6" t="n"/>
      <c r="AH53" s="5" t="n"/>
    </row>
    <row r="54" ht="20" customHeight="1">
      <c r="A54" s="5" t="n"/>
      <c r="B54" s="6" t="n"/>
      <c r="C54" s="6" t="n"/>
      <c r="D54" s="7" t="n"/>
      <c r="E54" s="5" t="n"/>
      <c r="F54" s="6" t="n"/>
      <c r="G54" s="6" t="n"/>
      <c r="H54" s="6" t="n"/>
      <c r="I54" s="6" t="n"/>
      <c r="J54" s="5" t="n"/>
      <c r="K54" s="7" t="n"/>
      <c r="L54" s="6" t="n"/>
      <c r="M54" s="8" t="n"/>
      <c r="N54" s="8" t="n"/>
      <c r="O54" s="9">
        <f>IF(OR(M54="",N54="",N54=0),"",M54/N54)</f>
        <v/>
      </c>
      <c r="P54" s="10" t="n"/>
      <c r="Q54" s="10" t="n"/>
      <c r="R54" s="11">
        <f>IF(OR(M54="",P54=""),"",M54*P54)</f>
        <v/>
      </c>
      <c r="S54" s="11">
        <f>IF(OR(M54="",Q54=""),"",M54*Q54)</f>
        <v/>
      </c>
      <c r="T54" s="11">
        <f>IF(OR(R54="",S54=""),"",R54+S54)</f>
        <v/>
      </c>
      <c r="U54" s="11">
        <f>IF(OR(L54="",M54="",P54="",Q54=""),"",IF(UPPER(L54)="SHORT",(P54-Q54)*M54,(Q54-P54)*M54))</f>
        <v/>
      </c>
      <c r="V54" s="10" t="n"/>
      <c r="W54" s="10" t="n"/>
      <c r="X54" s="10" t="n"/>
      <c r="Y54" s="10" t="n"/>
      <c r="Z54" s="10" t="n"/>
      <c r="AA54" s="10" t="n"/>
      <c r="AB54" s="11">
        <f>IF(COUNTA(V54:AA54)=0,"",SUM(V54:AA54))</f>
        <v/>
      </c>
      <c r="AC54" s="11">
        <f>IF(U54="","",U54-IF(AB54="",0,AB54))</f>
        <v/>
      </c>
      <c r="AD54" s="12">
        <f>IF(AC54="","",IF(AC54&gt;0,"PROFIT",IF(AC54&lt;0,"LOSS","BREAKEVEN")))</f>
        <v/>
      </c>
      <c r="AE54" s="6" t="n"/>
      <c r="AF54" s="6" t="n"/>
      <c r="AG54" s="6" t="n"/>
      <c r="AH54" s="5" t="n"/>
    </row>
    <row r="55" ht="20" customHeight="1">
      <c r="A55" s="5" t="n"/>
      <c r="B55" s="6" t="n"/>
      <c r="C55" s="6" t="n"/>
      <c r="D55" s="7" t="n"/>
      <c r="E55" s="5" t="n"/>
      <c r="F55" s="6" t="n"/>
      <c r="G55" s="6" t="n"/>
      <c r="H55" s="6" t="n"/>
      <c r="I55" s="6" t="n"/>
      <c r="J55" s="5" t="n"/>
      <c r="K55" s="7" t="n"/>
      <c r="L55" s="6" t="n"/>
      <c r="M55" s="8" t="n"/>
      <c r="N55" s="8" t="n"/>
      <c r="O55" s="9">
        <f>IF(OR(M55="",N55="",N55=0),"",M55/N55)</f>
        <v/>
      </c>
      <c r="P55" s="10" t="n"/>
      <c r="Q55" s="10" t="n"/>
      <c r="R55" s="11">
        <f>IF(OR(M55="",P55=""),"",M55*P55)</f>
        <v/>
      </c>
      <c r="S55" s="11">
        <f>IF(OR(M55="",Q55=""),"",M55*Q55)</f>
        <v/>
      </c>
      <c r="T55" s="11">
        <f>IF(OR(R55="",S55=""),"",R55+S55)</f>
        <v/>
      </c>
      <c r="U55" s="11">
        <f>IF(OR(L55="",M55="",P55="",Q55=""),"",IF(UPPER(L55)="SHORT",(P55-Q55)*M55,(Q55-P55)*M55))</f>
        <v/>
      </c>
      <c r="V55" s="10" t="n"/>
      <c r="W55" s="10" t="n"/>
      <c r="X55" s="10" t="n"/>
      <c r="Y55" s="10" t="n"/>
      <c r="Z55" s="10" t="n"/>
      <c r="AA55" s="10" t="n"/>
      <c r="AB55" s="11">
        <f>IF(COUNTA(V55:AA55)=0,"",SUM(V55:AA55))</f>
        <v/>
      </c>
      <c r="AC55" s="11">
        <f>IF(U55="","",U55-IF(AB55="",0,AB55))</f>
        <v/>
      </c>
      <c r="AD55" s="12">
        <f>IF(AC55="","",IF(AC55&gt;0,"PROFIT",IF(AC55&lt;0,"LOSS","BREAKEVEN")))</f>
        <v/>
      </c>
      <c r="AE55" s="6" t="n"/>
      <c r="AF55" s="6" t="n"/>
      <c r="AG55" s="6" t="n"/>
      <c r="AH55" s="5" t="n"/>
    </row>
    <row r="56" ht="20" customHeight="1">
      <c r="A56" s="5" t="n"/>
      <c r="B56" s="6" t="n"/>
      <c r="C56" s="6" t="n"/>
      <c r="D56" s="7" t="n"/>
      <c r="E56" s="5" t="n"/>
      <c r="F56" s="6" t="n"/>
      <c r="G56" s="6" t="n"/>
      <c r="H56" s="6" t="n"/>
      <c r="I56" s="6" t="n"/>
      <c r="J56" s="5" t="n"/>
      <c r="K56" s="7" t="n"/>
      <c r="L56" s="6" t="n"/>
      <c r="M56" s="8" t="n"/>
      <c r="N56" s="8" t="n"/>
      <c r="O56" s="9">
        <f>IF(OR(M56="",N56="",N56=0),"",M56/N56)</f>
        <v/>
      </c>
      <c r="P56" s="10" t="n"/>
      <c r="Q56" s="10" t="n"/>
      <c r="R56" s="11">
        <f>IF(OR(M56="",P56=""),"",M56*P56)</f>
        <v/>
      </c>
      <c r="S56" s="11">
        <f>IF(OR(M56="",Q56=""),"",M56*Q56)</f>
        <v/>
      </c>
      <c r="T56" s="11">
        <f>IF(OR(R56="",S56=""),"",R56+S56)</f>
        <v/>
      </c>
      <c r="U56" s="11">
        <f>IF(OR(L56="",M56="",P56="",Q56=""),"",IF(UPPER(L56)="SHORT",(P56-Q56)*M56,(Q56-P56)*M56))</f>
        <v/>
      </c>
      <c r="V56" s="10" t="n"/>
      <c r="W56" s="10" t="n"/>
      <c r="X56" s="10" t="n"/>
      <c r="Y56" s="10" t="n"/>
      <c r="Z56" s="10" t="n"/>
      <c r="AA56" s="10" t="n"/>
      <c r="AB56" s="11">
        <f>IF(COUNTA(V56:AA56)=0,"",SUM(V56:AA56))</f>
        <v/>
      </c>
      <c r="AC56" s="11">
        <f>IF(U56="","",U56-IF(AB56="",0,AB56))</f>
        <v/>
      </c>
      <c r="AD56" s="12">
        <f>IF(AC56="","",IF(AC56&gt;0,"PROFIT",IF(AC56&lt;0,"LOSS","BREAKEVEN")))</f>
        <v/>
      </c>
      <c r="AE56" s="6" t="n"/>
      <c r="AF56" s="6" t="n"/>
      <c r="AG56" s="6" t="n"/>
      <c r="AH56" s="5" t="n"/>
    </row>
    <row r="57" ht="20" customHeight="1">
      <c r="A57" s="5" t="n"/>
      <c r="B57" s="6" t="n"/>
      <c r="C57" s="6" t="n"/>
      <c r="D57" s="7" t="n"/>
      <c r="E57" s="5" t="n"/>
      <c r="F57" s="6" t="n"/>
      <c r="G57" s="6" t="n"/>
      <c r="H57" s="6" t="n"/>
      <c r="I57" s="6" t="n"/>
      <c r="J57" s="5" t="n"/>
      <c r="K57" s="7" t="n"/>
      <c r="L57" s="6" t="n"/>
      <c r="M57" s="8" t="n"/>
      <c r="N57" s="8" t="n"/>
      <c r="O57" s="9">
        <f>IF(OR(M57="",N57="",N57=0),"",M57/N57)</f>
        <v/>
      </c>
      <c r="P57" s="10" t="n"/>
      <c r="Q57" s="10" t="n"/>
      <c r="R57" s="11">
        <f>IF(OR(M57="",P57=""),"",M57*P57)</f>
        <v/>
      </c>
      <c r="S57" s="11">
        <f>IF(OR(M57="",Q57=""),"",M57*Q57)</f>
        <v/>
      </c>
      <c r="T57" s="11">
        <f>IF(OR(R57="",S57=""),"",R57+S57)</f>
        <v/>
      </c>
      <c r="U57" s="11">
        <f>IF(OR(L57="",M57="",P57="",Q57=""),"",IF(UPPER(L57)="SHORT",(P57-Q57)*M57,(Q57-P57)*M57))</f>
        <v/>
      </c>
      <c r="V57" s="10" t="n"/>
      <c r="W57" s="10" t="n"/>
      <c r="X57" s="10" t="n"/>
      <c r="Y57" s="10" t="n"/>
      <c r="Z57" s="10" t="n"/>
      <c r="AA57" s="10" t="n"/>
      <c r="AB57" s="11">
        <f>IF(COUNTA(V57:AA57)=0,"",SUM(V57:AA57))</f>
        <v/>
      </c>
      <c r="AC57" s="11">
        <f>IF(U57="","",U57-IF(AB57="",0,AB57))</f>
        <v/>
      </c>
      <c r="AD57" s="12">
        <f>IF(AC57="","",IF(AC57&gt;0,"PROFIT",IF(AC57&lt;0,"LOSS","BREAKEVEN")))</f>
        <v/>
      </c>
      <c r="AE57" s="6" t="n"/>
      <c r="AF57" s="6" t="n"/>
      <c r="AG57" s="6" t="n"/>
      <c r="AH57" s="5" t="n"/>
    </row>
    <row r="58" ht="20" customHeight="1">
      <c r="A58" s="5" t="n"/>
      <c r="B58" s="6" t="n"/>
      <c r="C58" s="6" t="n"/>
      <c r="D58" s="7" t="n"/>
      <c r="E58" s="5" t="n"/>
      <c r="F58" s="6" t="n"/>
      <c r="G58" s="6" t="n"/>
      <c r="H58" s="6" t="n"/>
      <c r="I58" s="6" t="n"/>
      <c r="J58" s="5" t="n"/>
      <c r="K58" s="7" t="n"/>
      <c r="L58" s="6" t="n"/>
      <c r="M58" s="8" t="n"/>
      <c r="N58" s="8" t="n"/>
      <c r="O58" s="9">
        <f>IF(OR(M58="",N58="",N58=0),"",M58/N58)</f>
        <v/>
      </c>
      <c r="P58" s="10" t="n"/>
      <c r="Q58" s="10" t="n"/>
      <c r="R58" s="11">
        <f>IF(OR(M58="",P58=""),"",M58*P58)</f>
        <v/>
      </c>
      <c r="S58" s="11">
        <f>IF(OR(M58="",Q58=""),"",M58*Q58)</f>
        <v/>
      </c>
      <c r="T58" s="11">
        <f>IF(OR(R58="",S58=""),"",R58+S58)</f>
        <v/>
      </c>
      <c r="U58" s="11">
        <f>IF(OR(L58="",M58="",P58="",Q58=""),"",IF(UPPER(L58)="SHORT",(P58-Q58)*M58,(Q58-P58)*M58))</f>
        <v/>
      </c>
      <c r="V58" s="10" t="n"/>
      <c r="W58" s="10" t="n"/>
      <c r="X58" s="10" t="n"/>
      <c r="Y58" s="10" t="n"/>
      <c r="Z58" s="10" t="n"/>
      <c r="AA58" s="10" t="n"/>
      <c r="AB58" s="11">
        <f>IF(COUNTA(V58:AA58)=0,"",SUM(V58:AA58))</f>
        <v/>
      </c>
      <c r="AC58" s="11">
        <f>IF(U58="","",U58-IF(AB58="",0,AB58))</f>
        <v/>
      </c>
      <c r="AD58" s="12">
        <f>IF(AC58="","",IF(AC58&gt;0,"PROFIT",IF(AC58&lt;0,"LOSS","BREAKEVEN")))</f>
        <v/>
      </c>
      <c r="AE58" s="6" t="n"/>
      <c r="AF58" s="6" t="n"/>
      <c r="AG58" s="6" t="n"/>
      <c r="AH58" s="5" t="n"/>
    </row>
    <row r="59" ht="20" customHeight="1">
      <c r="A59" s="5" t="n"/>
      <c r="B59" s="6" t="n"/>
      <c r="C59" s="6" t="n"/>
      <c r="D59" s="7" t="n"/>
      <c r="E59" s="5" t="n"/>
      <c r="F59" s="6" t="n"/>
      <c r="G59" s="6" t="n"/>
      <c r="H59" s="6" t="n"/>
      <c r="I59" s="6" t="n"/>
      <c r="J59" s="5" t="n"/>
      <c r="K59" s="7" t="n"/>
      <c r="L59" s="6" t="n"/>
      <c r="M59" s="8" t="n"/>
      <c r="N59" s="8" t="n"/>
      <c r="O59" s="9">
        <f>IF(OR(M59="",N59="",N59=0),"",M59/N59)</f>
        <v/>
      </c>
      <c r="P59" s="10" t="n"/>
      <c r="Q59" s="10" t="n"/>
      <c r="R59" s="11">
        <f>IF(OR(M59="",P59=""),"",M59*P59)</f>
        <v/>
      </c>
      <c r="S59" s="11">
        <f>IF(OR(M59="",Q59=""),"",M59*Q59)</f>
        <v/>
      </c>
      <c r="T59" s="11">
        <f>IF(OR(R59="",S59=""),"",R59+S59)</f>
        <v/>
      </c>
      <c r="U59" s="11">
        <f>IF(OR(L59="",M59="",P59="",Q59=""),"",IF(UPPER(L59)="SHORT",(P59-Q59)*M59,(Q59-P59)*M59))</f>
        <v/>
      </c>
      <c r="V59" s="10" t="n"/>
      <c r="W59" s="10" t="n"/>
      <c r="X59" s="10" t="n"/>
      <c r="Y59" s="10" t="n"/>
      <c r="Z59" s="10" t="n"/>
      <c r="AA59" s="10" t="n"/>
      <c r="AB59" s="11">
        <f>IF(COUNTA(V59:AA59)=0,"",SUM(V59:AA59))</f>
        <v/>
      </c>
      <c r="AC59" s="11">
        <f>IF(U59="","",U59-IF(AB59="",0,AB59))</f>
        <v/>
      </c>
      <c r="AD59" s="12">
        <f>IF(AC59="","",IF(AC59&gt;0,"PROFIT",IF(AC59&lt;0,"LOSS","BREAKEVEN")))</f>
        <v/>
      </c>
      <c r="AE59" s="6" t="n"/>
      <c r="AF59" s="6" t="n"/>
      <c r="AG59" s="6" t="n"/>
      <c r="AH59" s="5" t="n"/>
    </row>
    <row r="60" ht="20" customHeight="1">
      <c r="A60" s="5" t="n"/>
      <c r="B60" s="6" t="n"/>
      <c r="C60" s="6" t="n"/>
      <c r="D60" s="7" t="n"/>
      <c r="E60" s="5" t="n"/>
      <c r="F60" s="6" t="n"/>
      <c r="G60" s="6" t="n"/>
      <c r="H60" s="6" t="n"/>
      <c r="I60" s="6" t="n"/>
      <c r="J60" s="5" t="n"/>
      <c r="K60" s="7" t="n"/>
      <c r="L60" s="6" t="n"/>
      <c r="M60" s="8" t="n"/>
      <c r="N60" s="8" t="n"/>
      <c r="O60" s="9">
        <f>IF(OR(M60="",N60="",N60=0),"",M60/N60)</f>
        <v/>
      </c>
      <c r="P60" s="10" t="n"/>
      <c r="Q60" s="10" t="n"/>
      <c r="R60" s="11">
        <f>IF(OR(M60="",P60=""),"",M60*P60)</f>
        <v/>
      </c>
      <c r="S60" s="11">
        <f>IF(OR(M60="",Q60=""),"",M60*Q60)</f>
        <v/>
      </c>
      <c r="T60" s="11">
        <f>IF(OR(R60="",S60=""),"",R60+S60)</f>
        <v/>
      </c>
      <c r="U60" s="11">
        <f>IF(OR(L60="",M60="",P60="",Q60=""),"",IF(UPPER(L60)="SHORT",(P60-Q60)*M60,(Q60-P60)*M60))</f>
        <v/>
      </c>
      <c r="V60" s="10" t="n"/>
      <c r="W60" s="10" t="n"/>
      <c r="X60" s="10" t="n"/>
      <c r="Y60" s="10" t="n"/>
      <c r="Z60" s="10" t="n"/>
      <c r="AA60" s="10" t="n"/>
      <c r="AB60" s="11">
        <f>IF(COUNTA(V60:AA60)=0,"",SUM(V60:AA60))</f>
        <v/>
      </c>
      <c r="AC60" s="11">
        <f>IF(U60="","",U60-IF(AB60="",0,AB60))</f>
        <v/>
      </c>
      <c r="AD60" s="12">
        <f>IF(AC60="","",IF(AC60&gt;0,"PROFIT",IF(AC60&lt;0,"LOSS","BREAKEVEN")))</f>
        <v/>
      </c>
      <c r="AE60" s="6" t="n"/>
      <c r="AF60" s="6" t="n"/>
      <c r="AG60" s="6" t="n"/>
      <c r="AH60" s="5" t="n"/>
    </row>
    <row r="61" ht="20" customHeight="1">
      <c r="A61" s="5" t="n"/>
      <c r="B61" s="6" t="n"/>
      <c r="C61" s="6" t="n"/>
      <c r="D61" s="7" t="n"/>
      <c r="E61" s="5" t="n"/>
      <c r="F61" s="6" t="n"/>
      <c r="G61" s="6" t="n"/>
      <c r="H61" s="6" t="n"/>
      <c r="I61" s="6" t="n"/>
      <c r="J61" s="5" t="n"/>
      <c r="K61" s="7" t="n"/>
      <c r="L61" s="6" t="n"/>
      <c r="M61" s="8" t="n"/>
      <c r="N61" s="8" t="n"/>
      <c r="O61" s="9">
        <f>IF(OR(M61="",N61="",N61=0),"",M61/N61)</f>
        <v/>
      </c>
      <c r="P61" s="10" t="n"/>
      <c r="Q61" s="10" t="n"/>
      <c r="R61" s="11">
        <f>IF(OR(M61="",P61=""),"",M61*P61)</f>
        <v/>
      </c>
      <c r="S61" s="11">
        <f>IF(OR(M61="",Q61=""),"",M61*Q61)</f>
        <v/>
      </c>
      <c r="T61" s="11">
        <f>IF(OR(R61="",S61=""),"",R61+S61)</f>
        <v/>
      </c>
      <c r="U61" s="11">
        <f>IF(OR(L61="",M61="",P61="",Q61=""),"",IF(UPPER(L61)="SHORT",(P61-Q61)*M61,(Q61-P61)*M61))</f>
        <v/>
      </c>
      <c r="V61" s="10" t="n"/>
      <c r="W61" s="10" t="n"/>
      <c r="X61" s="10" t="n"/>
      <c r="Y61" s="10" t="n"/>
      <c r="Z61" s="10" t="n"/>
      <c r="AA61" s="10" t="n"/>
      <c r="AB61" s="11">
        <f>IF(COUNTA(V61:AA61)=0,"",SUM(V61:AA61))</f>
        <v/>
      </c>
      <c r="AC61" s="11">
        <f>IF(U61="","",U61-IF(AB61="",0,AB61))</f>
        <v/>
      </c>
      <c r="AD61" s="12">
        <f>IF(AC61="","",IF(AC61&gt;0,"PROFIT",IF(AC61&lt;0,"LOSS","BREAKEVEN")))</f>
        <v/>
      </c>
      <c r="AE61" s="6" t="n"/>
      <c r="AF61" s="6" t="n"/>
      <c r="AG61" s="6" t="n"/>
      <c r="AH61" s="5" t="n"/>
    </row>
    <row r="62" ht="20" customHeight="1">
      <c r="A62" s="5" t="n"/>
      <c r="B62" s="6" t="n"/>
      <c r="C62" s="6" t="n"/>
      <c r="D62" s="7" t="n"/>
      <c r="E62" s="5" t="n"/>
      <c r="F62" s="6" t="n"/>
      <c r="G62" s="6" t="n"/>
      <c r="H62" s="6" t="n"/>
      <c r="I62" s="6" t="n"/>
      <c r="J62" s="5" t="n"/>
      <c r="K62" s="7" t="n"/>
      <c r="L62" s="6" t="n"/>
      <c r="M62" s="8" t="n"/>
      <c r="N62" s="8" t="n"/>
      <c r="O62" s="9">
        <f>IF(OR(M62="",N62="",N62=0),"",M62/N62)</f>
        <v/>
      </c>
      <c r="P62" s="10" t="n"/>
      <c r="Q62" s="10" t="n"/>
      <c r="R62" s="11">
        <f>IF(OR(M62="",P62=""),"",M62*P62)</f>
        <v/>
      </c>
      <c r="S62" s="11">
        <f>IF(OR(M62="",Q62=""),"",M62*Q62)</f>
        <v/>
      </c>
      <c r="T62" s="11">
        <f>IF(OR(R62="",S62=""),"",R62+S62)</f>
        <v/>
      </c>
      <c r="U62" s="11">
        <f>IF(OR(L62="",M62="",P62="",Q62=""),"",IF(UPPER(L62)="SHORT",(P62-Q62)*M62,(Q62-P62)*M62))</f>
        <v/>
      </c>
      <c r="V62" s="10" t="n"/>
      <c r="W62" s="10" t="n"/>
      <c r="X62" s="10" t="n"/>
      <c r="Y62" s="10" t="n"/>
      <c r="Z62" s="10" t="n"/>
      <c r="AA62" s="10" t="n"/>
      <c r="AB62" s="11">
        <f>IF(COUNTA(V62:AA62)=0,"",SUM(V62:AA62))</f>
        <v/>
      </c>
      <c r="AC62" s="11">
        <f>IF(U62="","",U62-IF(AB62="",0,AB62))</f>
        <v/>
      </c>
      <c r="AD62" s="12">
        <f>IF(AC62="","",IF(AC62&gt;0,"PROFIT",IF(AC62&lt;0,"LOSS","BREAKEVEN")))</f>
        <v/>
      </c>
      <c r="AE62" s="6" t="n"/>
      <c r="AF62" s="6" t="n"/>
      <c r="AG62" s="6" t="n"/>
      <c r="AH62" s="5" t="n"/>
    </row>
    <row r="63" ht="20" customHeight="1">
      <c r="A63" s="5" t="n"/>
      <c r="B63" s="6" t="n"/>
      <c r="C63" s="6" t="n"/>
      <c r="D63" s="7" t="n"/>
      <c r="E63" s="5" t="n"/>
      <c r="F63" s="6" t="n"/>
      <c r="G63" s="6" t="n"/>
      <c r="H63" s="6" t="n"/>
      <c r="I63" s="6" t="n"/>
      <c r="J63" s="5" t="n"/>
      <c r="K63" s="7" t="n"/>
      <c r="L63" s="6" t="n"/>
      <c r="M63" s="8" t="n"/>
      <c r="N63" s="8" t="n"/>
      <c r="O63" s="9">
        <f>IF(OR(M63="",N63="",N63=0),"",M63/N63)</f>
        <v/>
      </c>
      <c r="P63" s="10" t="n"/>
      <c r="Q63" s="10" t="n"/>
      <c r="R63" s="11">
        <f>IF(OR(M63="",P63=""),"",M63*P63)</f>
        <v/>
      </c>
      <c r="S63" s="11">
        <f>IF(OR(M63="",Q63=""),"",M63*Q63)</f>
        <v/>
      </c>
      <c r="T63" s="11">
        <f>IF(OR(R63="",S63=""),"",R63+S63)</f>
        <v/>
      </c>
      <c r="U63" s="11">
        <f>IF(OR(L63="",M63="",P63="",Q63=""),"",IF(UPPER(L63)="SHORT",(P63-Q63)*M63,(Q63-P63)*M63))</f>
        <v/>
      </c>
      <c r="V63" s="10" t="n"/>
      <c r="W63" s="10" t="n"/>
      <c r="X63" s="10" t="n"/>
      <c r="Y63" s="10" t="n"/>
      <c r="Z63" s="10" t="n"/>
      <c r="AA63" s="10" t="n"/>
      <c r="AB63" s="11">
        <f>IF(COUNTA(V63:AA63)=0,"",SUM(V63:AA63))</f>
        <v/>
      </c>
      <c r="AC63" s="11">
        <f>IF(U63="","",U63-IF(AB63="",0,AB63))</f>
        <v/>
      </c>
      <c r="AD63" s="12">
        <f>IF(AC63="","",IF(AC63&gt;0,"PROFIT",IF(AC63&lt;0,"LOSS","BREAKEVEN")))</f>
        <v/>
      </c>
      <c r="AE63" s="6" t="n"/>
      <c r="AF63" s="6" t="n"/>
      <c r="AG63" s="6" t="n"/>
      <c r="AH63" s="5" t="n"/>
    </row>
    <row r="64" ht="20" customHeight="1">
      <c r="A64" s="5" t="n"/>
      <c r="B64" s="6" t="n"/>
      <c r="C64" s="6" t="n"/>
      <c r="D64" s="7" t="n"/>
      <c r="E64" s="5" t="n"/>
      <c r="F64" s="6" t="n"/>
      <c r="G64" s="6" t="n"/>
      <c r="H64" s="6" t="n"/>
      <c r="I64" s="6" t="n"/>
      <c r="J64" s="5" t="n"/>
      <c r="K64" s="7" t="n"/>
      <c r="L64" s="6" t="n"/>
      <c r="M64" s="8" t="n"/>
      <c r="N64" s="8" t="n"/>
      <c r="O64" s="9">
        <f>IF(OR(M64="",N64="",N64=0),"",M64/N64)</f>
        <v/>
      </c>
      <c r="P64" s="10" t="n"/>
      <c r="Q64" s="10" t="n"/>
      <c r="R64" s="11">
        <f>IF(OR(M64="",P64=""),"",M64*P64)</f>
        <v/>
      </c>
      <c r="S64" s="11">
        <f>IF(OR(M64="",Q64=""),"",M64*Q64)</f>
        <v/>
      </c>
      <c r="T64" s="11">
        <f>IF(OR(R64="",S64=""),"",R64+S64)</f>
        <v/>
      </c>
      <c r="U64" s="11">
        <f>IF(OR(L64="",M64="",P64="",Q64=""),"",IF(UPPER(L64)="SHORT",(P64-Q64)*M64,(Q64-P64)*M64))</f>
        <v/>
      </c>
      <c r="V64" s="10" t="n"/>
      <c r="W64" s="10" t="n"/>
      <c r="X64" s="10" t="n"/>
      <c r="Y64" s="10" t="n"/>
      <c r="Z64" s="10" t="n"/>
      <c r="AA64" s="10" t="n"/>
      <c r="AB64" s="11">
        <f>IF(COUNTA(V64:AA64)=0,"",SUM(V64:AA64))</f>
        <v/>
      </c>
      <c r="AC64" s="11">
        <f>IF(U64="","",U64-IF(AB64="",0,AB64))</f>
        <v/>
      </c>
      <c r="AD64" s="12">
        <f>IF(AC64="","",IF(AC64&gt;0,"PROFIT",IF(AC64&lt;0,"LOSS","BREAKEVEN")))</f>
        <v/>
      </c>
      <c r="AE64" s="6" t="n"/>
      <c r="AF64" s="6" t="n"/>
      <c r="AG64" s="6" t="n"/>
      <c r="AH64" s="5" t="n"/>
    </row>
    <row r="65" ht="20" customHeight="1">
      <c r="A65" s="5" t="n"/>
      <c r="B65" s="6" t="n"/>
      <c r="C65" s="6" t="n"/>
      <c r="D65" s="7" t="n"/>
      <c r="E65" s="5" t="n"/>
      <c r="F65" s="6" t="n"/>
      <c r="G65" s="6" t="n"/>
      <c r="H65" s="6" t="n"/>
      <c r="I65" s="6" t="n"/>
      <c r="J65" s="5" t="n"/>
      <c r="K65" s="7" t="n"/>
      <c r="L65" s="6" t="n"/>
      <c r="M65" s="8" t="n"/>
      <c r="N65" s="8" t="n"/>
      <c r="O65" s="9">
        <f>IF(OR(M65="",N65="",N65=0),"",M65/N65)</f>
        <v/>
      </c>
      <c r="P65" s="10" t="n"/>
      <c r="Q65" s="10" t="n"/>
      <c r="R65" s="11">
        <f>IF(OR(M65="",P65=""),"",M65*P65)</f>
        <v/>
      </c>
      <c r="S65" s="11">
        <f>IF(OR(M65="",Q65=""),"",M65*Q65)</f>
        <v/>
      </c>
      <c r="T65" s="11">
        <f>IF(OR(R65="",S65=""),"",R65+S65)</f>
        <v/>
      </c>
      <c r="U65" s="11">
        <f>IF(OR(L65="",M65="",P65="",Q65=""),"",IF(UPPER(L65)="SHORT",(P65-Q65)*M65,(Q65-P65)*M65))</f>
        <v/>
      </c>
      <c r="V65" s="10" t="n"/>
      <c r="W65" s="10" t="n"/>
      <c r="X65" s="10" t="n"/>
      <c r="Y65" s="10" t="n"/>
      <c r="Z65" s="10" t="n"/>
      <c r="AA65" s="10" t="n"/>
      <c r="AB65" s="11">
        <f>IF(COUNTA(V65:AA65)=0,"",SUM(V65:AA65))</f>
        <v/>
      </c>
      <c r="AC65" s="11">
        <f>IF(U65="","",U65-IF(AB65="",0,AB65))</f>
        <v/>
      </c>
      <c r="AD65" s="12">
        <f>IF(AC65="","",IF(AC65&gt;0,"PROFIT",IF(AC65&lt;0,"LOSS","BREAKEVEN")))</f>
        <v/>
      </c>
      <c r="AE65" s="6" t="n"/>
      <c r="AF65" s="6" t="n"/>
      <c r="AG65" s="6" t="n"/>
      <c r="AH65" s="5" t="n"/>
    </row>
    <row r="66" ht="20" customHeight="1">
      <c r="A66" s="5" t="n"/>
      <c r="B66" s="6" t="n"/>
      <c r="C66" s="6" t="n"/>
      <c r="D66" s="7" t="n"/>
      <c r="E66" s="5" t="n"/>
      <c r="F66" s="6" t="n"/>
      <c r="G66" s="6" t="n"/>
      <c r="H66" s="6" t="n"/>
      <c r="I66" s="6" t="n"/>
      <c r="J66" s="5" t="n"/>
      <c r="K66" s="7" t="n"/>
      <c r="L66" s="6" t="n"/>
      <c r="M66" s="8" t="n"/>
      <c r="N66" s="8" t="n"/>
      <c r="O66" s="9">
        <f>IF(OR(M66="",N66="",N66=0),"",M66/N66)</f>
        <v/>
      </c>
      <c r="P66" s="10" t="n"/>
      <c r="Q66" s="10" t="n"/>
      <c r="R66" s="11">
        <f>IF(OR(M66="",P66=""),"",M66*P66)</f>
        <v/>
      </c>
      <c r="S66" s="11">
        <f>IF(OR(M66="",Q66=""),"",M66*Q66)</f>
        <v/>
      </c>
      <c r="T66" s="11">
        <f>IF(OR(R66="",S66=""),"",R66+S66)</f>
        <v/>
      </c>
      <c r="U66" s="11">
        <f>IF(OR(L66="",M66="",P66="",Q66=""),"",IF(UPPER(L66)="SHORT",(P66-Q66)*M66,(Q66-P66)*M66))</f>
        <v/>
      </c>
      <c r="V66" s="10" t="n"/>
      <c r="W66" s="10" t="n"/>
      <c r="X66" s="10" t="n"/>
      <c r="Y66" s="10" t="n"/>
      <c r="Z66" s="10" t="n"/>
      <c r="AA66" s="10" t="n"/>
      <c r="AB66" s="11">
        <f>IF(COUNTA(V66:AA66)=0,"",SUM(V66:AA66))</f>
        <v/>
      </c>
      <c r="AC66" s="11">
        <f>IF(U66="","",U66-IF(AB66="",0,AB66))</f>
        <v/>
      </c>
      <c r="AD66" s="12">
        <f>IF(AC66="","",IF(AC66&gt;0,"PROFIT",IF(AC66&lt;0,"LOSS","BREAKEVEN")))</f>
        <v/>
      </c>
      <c r="AE66" s="6" t="n"/>
      <c r="AF66" s="6" t="n"/>
      <c r="AG66" s="6" t="n"/>
      <c r="AH66" s="5" t="n"/>
    </row>
    <row r="67" ht="20" customHeight="1">
      <c r="A67" s="5" t="n"/>
      <c r="B67" s="6" t="n"/>
      <c r="C67" s="6" t="n"/>
      <c r="D67" s="7" t="n"/>
      <c r="E67" s="5" t="n"/>
      <c r="F67" s="6" t="n"/>
      <c r="G67" s="6" t="n"/>
      <c r="H67" s="6" t="n"/>
      <c r="I67" s="6" t="n"/>
      <c r="J67" s="5" t="n"/>
      <c r="K67" s="7" t="n"/>
      <c r="L67" s="6" t="n"/>
      <c r="M67" s="8" t="n"/>
      <c r="N67" s="8" t="n"/>
      <c r="O67" s="9">
        <f>IF(OR(M67="",N67="",N67=0),"",M67/N67)</f>
        <v/>
      </c>
      <c r="P67" s="10" t="n"/>
      <c r="Q67" s="10" t="n"/>
      <c r="R67" s="11">
        <f>IF(OR(M67="",P67=""),"",M67*P67)</f>
        <v/>
      </c>
      <c r="S67" s="11">
        <f>IF(OR(M67="",Q67=""),"",M67*Q67)</f>
        <v/>
      </c>
      <c r="T67" s="11">
        <f>IF(OR(R67="",S67=""),"",R67+S67)</f>
        <v/>
      </c>
      <c r="U67" s="11">
        <f>IF(OR(L67="",M67="",P67="",Q67=""),"",IF(UPPER(L67)="SHORT",(P67-Q67)*M67,(Q67-P67)*M67))</f>
        <v/>
      </c>
      <c r="V67" s="10" t="n"/>
      <c r="W67" s="10" t="n"/>
      <c r="X67" s="10" t="n"/>
      <c r="Y67" s="10" t="n"/>
      <c r="Z67" s="10" t="n"/>
      <c r="AA67" s="10" t="n"/>
      <c r="AB67" s="11">
        <f>IF(COUNTA(V67:AA67)=0,"",SUM(V67:AA67))</f>
        <v/>
      </c>
      <c r="AC67" s="11">
        <f>IF(U67="","",U67-IF(AB67="",0,AB67))</f>
        <v/>
      </c>
      <c r="AD67" s="12">
        <f>IF(AC67="","",IF(AC67&gt;0,"PROFIT",IF(AC67&lt;0,"LOSS","BREAKEVEN")))</f>
        <v/>
      </c>
      <c r="AE67" s="6" t="n"/>
      <c r="AF67" s="6" t="n"/>
      <c r="AG67" s="6" t="n"/>
      <c r="AH67" s="5" t="n"/>
    </row>
    <row r="68" ht="20" customHeight="1">
      <c r="A68" s="5" t="n"/>
      <c r="B68" s="6" t="n"/>
      <c r="C68" s="6" t="n"/>
      <c r="D68" s="7" t="n"/>
      <c r="E68" s="5" t="n"/>
      <c r="F68" s="6" t="n"/>
      <c r="G68" s="6" t="n"/>
      <c r="H68" s="6" t="n"/>
      <c r="I68" s="6" t="n"/>
      <c r="J68" s="5" t="n"/>
      <c r="K68" s="7" t="n"/>
      <c r="L68" s="6" t="n"/>
      <c r="M68" s="8" t="n"/>
      <c r="N68" s="8" t="n"/>
      <c r="O68" s="9">
        <f>IF(OR(M68="",N68="",N68=0),"",M68/N68)</f>
        <v/>
      </c>
      <c r="P68" s="10" t="n"/>
      <c r="Q68" s="10" t="n"/>
      <c r="R68" s="11">
        <f>IF(OR(M68="",P68=""),"",M68*P68)</f>
        <v/>
      </c>
      <c r="S68" s="11">
        <f>IF(OR(M68="",Q68=""),"",M68*Q68)</f>
        <v/>
      </c>
      <c r="T68" s="11">
        <f>IF(OR(R68="",S68=""),"",R68+S68)</f>
        <v/>
      </c>
      <c r="U68" s="11">
        <f>IF(OR(L68="",M68="",P68="",Q68=""),"",IF(UPPER(L68)="SHORT",(P68-Q68)*M68,(Q68-P68)*M68))</f>
        <v/>
      </c>
      <c r="V68" s="10" t="n"/>
      <c r="W68" s="10" t="n"/>
      <c r="X68" s="10" t="n"/>
      <c r="Y68" s="10" t="n"/>
      <c r="Z68" s="10" t="n"/>
      <c r="AA68" s="10" t="n"/>
      <c r="AB68" s="11">
        <f>IF(COUNTA(V68:AA68)=0,"",SUM(V68:AA68))</f>
        <v/>
      </c>
      <c r="AC68" s="11">
        <f>IF(U68="","",U68-IF(AB68="",0,AB68))</f>
        <v/>
      </c>
      <c r="AD68" s="12">
        <f>IF(AC68="","",IF(AC68&gt;0,"PROFIT",IF(AC68&lt;0,"LOSS","BREAKEVEN")))</f>
        <v/>
      </c>
      <c r="AE68" s="6" t="n"/>
      <c r="AF68" s="6" t="n"/>
      <c r="AG68" s="6" t="n"/>
      <c r="AH68" s="5" t="n"/>
    </row>
    <row r="69" ht="20" customHeight="1">
      <c r="A69" s="5" t="n"/>
      <c r="B69" s="6" t="n"/>
      <c r="C69" s="6" t="n"/>
      <c r="D69" s="7" t="n"/>
      <c r="E69" s="5" t="n"/>
      <c r="F69" s="6" t="n"/>
      <c r="G69" s="6" t="n"/>
      <c r="H69" s="6" t="n"/>
      <c r="I69" s="6" t="n"/>
      <c r="J69" s="5" t="n"/>
      <c r="K69" s="7" t="n"/>
      <c r="L69" s="6" t="n"/>
      <c r="M69" s="8" t="n"/>
      <c r="N69" s="8" t="n"/>
      <c r="O69" s="9">
        <f>IF(OR(M69="",N69="",N69=0),"",M69/N69)</f>
        <v/>
      </c>
      <c r="P69" s="10" t="n"/>
      <c r="Q69" s="10" t="n"/>
      <c r="R69" s="11">
        <f>IF(OR(M69="",P69=""),"",M69*P69)</f>
        <v/>
      </c>
      <c r="S69" s="11">
        <f>IF(OR(M69="",Q69=""),"",M69*Q69)</f>
        <v/>
      </c>
      <c r="T69" s="11">
        <f>IF(OR(R69="",S69=""),"",R69+S69)</f>
        <v/>
      </c>
      <c r="U69" s="11">
        <f>IF(OR(L69="",M69="",P69="",Q69=""),"",IF(UPPER(L69)="SHORT",(P69-Q69)*M69,(Q69-P69)*M69))</f>
        <v/>
      </c>
      <c r="V69" s="10" t="n"/>
      <c r="W69" s="10" t="n"/>
      <c r="X69" s="10" t="n"/>
      <c r="Y69" s="10" t="n"/>
      <c r="Z69" s="10" t="n"/>
      <c r="AA69" s="10" t="n"/>
      <c r="AB69" s="11">
        <f>IF(COUNTA(V69:AA69)=0,"",SUM(V69:AA69))</f>
        <v/>
      </c>
      <c r="AC69" s="11">
        <f>IF(U69="","",U69-IF(AB69="",0,AB69))</f>
        <v/>
      </c>
      <c r="AD69" s="12">
        <f>IF(AC69="","",IF(AC69&gt;0,"PROFIT",IF(AC69&lt;0,"LOSS","BREAKEVEN")))</f>
        <v/>
      </c>
      <c r="AE69" s="6" t="n"/>
      <c r="AF69" s="6" t="n"/>
      <c r="AG69" s="6" t="n"/>
      <c r="AH69" s="5" t="n"/>
    </row>
    <row r="70" ht="20" customHeight="1">
      <c r="A70" s="5" t="n"/>
      <c r="B70" s="6" t="n"/>
      <c r="C70" s="6" t="n"/>
      <c r="D70" s="7" t="n"/>
      <c r="E70" s="5" t="n"/>
      <c r="F70" s="6" t="n"/>
      <c r="G70" s="6" t="n"/>
      <c r="H70" s="6" t="n"/>
      <c r="I70" s="6" t="n"/>
      <c r="J70" s="5" t="n"/>
      <c r="K70" s="7" t="n"/>
      <c r="L70" s="6" t="n"/>
      <c r="M70" s="8" t="n"/>
      <c r="N70" s="8" t="n"/>
      <c r="O70" s="9">
        <f>IF(OR(M70="",N70="",N70=0),"",M70/N70)</f>
        <v/>
      </c>
      <c r="P70" s="10" t="n"/>
      <c r="Q70" s="10" t="n"/>
      <c r="R70" s="11">
        <f>IF(OR(M70="",P70=""),"",M70*P70)</f>
        <v/>
      </c>
      <c r="S70" s="11">
        <f>IF(OR(M70="",Q70=""),"",M70*Q70)</f>
        <v/>
      </c>
      <c r="T70" s="11">
        <f>IF(OR(R70="",S70=""),"",R70+S70)</f>
        <v/>
      </c>
      <c r="U70" s="11">
        <f>IF(OR(L70="",M70="",P70="",Q70=""),"",IF(UPPER(L70)="SHORT",(P70-Q70)*M70,(Q70-P70)*M70))</f>
        <v/>
      </c>
      <c r="V70" s="10" t="n"/>
      <c r="W70" s="10" t="n"/>
      <c r="X70" s="10" t="n"/>
      <c r="Y70" s="10" t="n"/>
      <c r="Z70" s="10" t="n"/>
      <c r="AA70" s="10" t="n"/>
      <c r="AB70" s="11">
        <f>IF(COUNTA(V70:AA70)=0,"",SUM(V70:AA70))</f>
        <v/>
      </c>
      <c r="AC70" s="11">
        <f>IF(U70="","",U70-IF(AB70="",0,AB70))</f>
        <v/>
      </c>
      <c r="AD70" s="12">
        <f>IF(AC70="","",IF(AC70&gt;0,"PROFIT",IF(AC70&lt;0,"LOSS","BREAKEVEN")))</f>
        <v/>
      </c>
      <c r="AE70" s="6" t="n"/>
      <c r="AF70" s="6" t="n"/>
      <c r="AG70" s="6" t="n"/>
      <c r="AH70" s="5" t="n"/>
    </row>
    <row r="71" ht="20" customHeight="1">
      <c r="A71" s="5" t="n"/>
      <c r="B71" s="6" t="n"/>
      <c r="C71" s="6" t="n"/>
      <c r="D71" s="7" t="n"/>
      <c r="E71" s="5" t="n"/>
      <c r="F71" s="6" t="n"/>
      <c r="G71" s="6" t="n"/>
      <c r="H71" s="6" t="n"/>
      <c r="I71" s="6" t="n"/>
      <c r="J71" s="5" t="n"/>
      <c r="K71" s="7" t="n"/>
      <c r="L71" s="6" t="n"/>
      <c r="M71" s="8" t="n"/>
      <c r="N71" s="8" t="n"/>
      <c r="O71" s="9">
        <f>IF(OR(M71="",N71="",N71=0),"",M71/N71)</f>
        <v/>
      </c>
      <c r="P71" s="10" t="n"/>
      <c r="Q71" s="10" t="n"/>
      <c r="R71" s="11">
        <f>IF(OR(M71="",P71=""),"",M71*P71)</f>
        <v/>
      </c>
      <c r="S71" s="11">
        <f>IF(OR(M71="",Q71=""),"",M71*Q71)</f>
        <v/>
      </c>
      <c r="T71" s="11">
        <f>IF(OR(R71="",S71=""),"",R71+S71)</f>
        <v/>
      </c>
      <c r="U71" s="11">
        <f>IF(OR(L71="",M71="",P71="",Q71=""),"",IF(UPPER(L71)="SHORT",(P71-Q71)*M71,(Q71-P71)*M71))</f>
        <v/>
      </c>
      <c r="V71" s="10" t="n"/>
      <c r="W71" s="10" t="n"/>
      <c r="X71" s="10" t="n"/>
      <c r="Y71" s="10" t="n"/>
      <c r="Z71" s="10" t="n"/>
      <c r="AA71" s="10" t="n"/>
      <c r="AB71" s="11">
        <f>IF(COUNTA(V71:AA71)=0,"",SUM(V71:AA71))</f>
        <v/>
      </c>
      <c r="AC71" s="11">
        <f>IF(U71="","",U71-IF(AB71="",0,AB71))</f>
        <v/>
      </c>
      <c r="AD71" s="12">
        <f>IF(AC71="","",IF(AC71&gt;0,"PROFIT",IF(AC71&lt;0,"LOSS","BREAKEVEN")))</f>
        <v/>
      </c>
      <c r="AE71" s="6" t="n"/>
      <c r="AF71" s="6" t="n"/>
      <c r="AG71" s="6" t="n"/>
      <c r="AH71" s="5" t="n"/>
    </row>
    <row r="72" ht="20" customHeight="1">
      <c r="A72" s="5" t="n"/>
      <c r="B72" s="6" t="n"/>
      <c r="C72" s="6" t="n"/>
      <c r="D72" s="7" t="n"/>
      <c r="E72" s="5" t="n"/>
      <c r="F72" s="6" t="n"/>
      <c r="G72" s="6" t="n"/>
      <c r="H72" s="6" t="n"/>
      <c r="I72" s="6" t="n"/>
      <c r="J72" s="5" t="n"/>
      <c r="K72" s="7" t="n"/>
      <c r="L72" s="6" t="n"/>
      <c r="M72" s="8" t="n"/>
      <c r="N72" s="8" t="n"/>
      <c r="O72" s="9">
        <f>IF(OR(M72="",N72="",N72=0),"",M72/N72)</f>
        <v/>
      </c>
      <c r="P72" s="10" t="n"/>
      <c r="Q72" s="10" t="n"/>
      <c r="R72" s="11">
        <f>IF(OR(M72="",P72=""),"",M72*P72)</f>
        <v/>
      </c>
      <c r="S72" s="11">
        <f>IF(OR(M72="",Q72=""),"",M72*Q72)</f>
        <v/>
      </c>
      <c r="T72" s="11">
        <f>IF(OR(R72="",S72=""),"",R72+S72)</f>
        <v/>
      </c>
      <c r="U72" s="11">
        <f>IF(OR(L72="",M72="",P72="",Q72=""),"",IF(UPPER(L72)="SHORT",(P72-Q72)*M72,(Q72-P72)*M72))</f>
        <v/>
      </c>
      <c r="V72" s="10" t="n"/>
      <c r="W72" s="10" t="n"/>
      <c r="X72" s="10" t="n"/>
      <c r="Y72" s="10" t="n"/>
      <c r="Z72" s="10" t="n"/>
      <c r="AA72" s="10" t="n"/>
      <c r="AB72" s="11">
        <f>IF(COUNTA(V72:AA72)=0,"",SUM(V72:AA72))</f>
        <v/>
      </c>
      <c r="AC72" s="11">
        <f>IF(U72="","",U72-IF(AB72="",0,AB72))</f>
        <v/>
      </c>
      <c r="AD72" s="12">
        <f>IF(AC72="","",IF(AC72&gt;0,"PROFIT",IF(AC72&lt;0,"LOSS","BREAKEVEN")))</f>
        <v/>
      </c>
      <c r="AE72" s="6" t="n"/>
      <c r="AF72" s="6" t="n"/>
      <c r="AG72" s="6" t="n"/>
      <c r="AH72" s="5" t="n"/>
    </row>
    <row r="73" ht="20" customHeight="1">
      <c r="A73" s="5" t="n"/>
      <c r="B73" s="6" t="n"/>
      <c r="C73" s="6" t="n"/>
      <c r="D73" s="7" t="n"/>
      <c r="E73" s="5" t="n"/>
      <c r="F73" s="6" t="n"/>
      <c r="G73" s="6" t="n"/>
      <c r="H73" s="6" t="n"/>
      <c r="I73" s="6" t="n"/>
      <c r="J73" s="5" t="n"/>
      <c r="K73" s="7" t="n"/>
      <c r="L73" s="6" t="n"/>
      <c r="M73" s="8" t="n"/>
      <c r="N73" s="8" t="n"/>
      <c r="O73" s="9">
        <f>IF(OR(M73="",N73="",N73=0),"",M73/N73)</f>
        <v/>
      </c>
      <c r="P73" s="10" t="n"/>
      <c r="Q73" s="10" t="n"/>
      <c r="R73" s="11">
        <f>IF(OR(M73="",P73=""),"",M73*P73)</f>
        <v/>
      </c>
      <c r="S73" s="11">
        <f>IF(OR(M73="",Q73=""),"",M73*Q73)</f>
        <v/>
      </c>
      <c r="T73" s="11">
        <f>IF(OR(R73="",S73=""),"",R73+S73)</f>
        <v/>
      </c>
      <c r="U73" s="11">
        <f>IF(OR(L73="",M73="",P73="",Q73=""),"",IF(UPPER(L73)="SHORT",(P73-Q73)*M73,(Q73-P73)*M73))</f>
        <v/>
      </c>
      <c r="V73" s="10" t="n"/>
      <c r="W73" s="10" t="n"/>
      <c r="X73" s="10" t="n"/>
      <c r="Y73" s="10" t="n"/>
      <c r="Z73" s="10" t="n"/>
      <c r="AA73" s="10" t="n"/>
      <c r="AB73" s="11">
        <f>IF(COUNTA(V73:AA73)=0,"",SUM(V73:AA73))</f>
        <v/>
      </c>
      <c r="AC73" s="11">
        <f>IF(U73="","",U73-IF(AB73="",0,AB73))</f>
        <v/>
      </c>
      <c r="AD73" s="12">
        <f>IF(AC73="","",IF(AC73&gt;0,"PROFIT",IF(AC73&lt;0,"LOSS","BREAKEVEN")))</f>
        <v/>
      </c>
      <c r="AE73" s="6" t="n"/>
      <c r="AF73" s="6" t="n"/>
      <c r="AG73" s="6" t="n"/>
      <c r="AH73" s="5" t="n"/>
    </row>
    <row r="74" ht="20" customHeight="1">
      <c r="A74" s="5" t="n"/>
      <c r="B74" s="6" t="n"/>
      <c r="C74" s="6" t="n"/>
      <c r="D74" s="7" t="n"/>
      <c r="E74" s="5" t="n"/>
      <c r="F74" s="6" t="n"/>
      <c r="G74" s="6" t="n"/>
      <c r="H74" s="6" t="n"/>
      <c r="I74" s="6" t="n"/>
      <c r="J74" s="5" t="n"/>
      <c r="K74" s="7" t="n"/>
      <c r="L74" s="6" t="n"/>
      <c r="M74" s="8" t="n"/>
      <c r="N74" s="8" t="n"/>
      <c r="O74" s="9">
        <f>IF(OR(M74="",N74="",N74=0),"",M74/N74)</f>
        <v/>
      </c>
      <c r="P74" s="10" t="n"/>
      <c r="Q74" s="10" t="n"/>
      <c r="R74" s="11">
        <f>IF(OR(M74="",P74=""),"",M74*P74)</f>
        <v/>
      </c>
      <c r="S74" s="11">
        <f>IF(OR(M74="",Q74=""),"",M74*Q74)</f>
        <v/>
      </c>
      <c r="T74" s="11">
        <f>IF(OR(R74="",S74=""),"",R74+S74)</f>
        <v/>
      </c>
      <c r="U74" s="11">
        <f>IF(OR(L74="",M74="",P74="",Q74=""),"",IF(UPPER(L74)="SHORT",(P74-Q74)*M74,(Q74-P74)*M74))</f>
        <v/>
      </c>
      <c r="V74" s="10" t="n"/>
      <c r="W74" s="10" t="n"/>
      <c r="X74" s="10" t="n"/>
      <c r="Y74" s="10" t="n"/>
      <c r="Z74" s="10" t="n"/>
      <c r="AA74" s="10" t="n"/>
      <c r="AB74" s="11">
        <f>IF(COUNTA(V74:AA74)=0,"",SUM(V74:AA74))</f>
        <v/>
      </c>
      <c r="AC74" s="11">
        <f>IF(U74="","",U74-IF(AB74="",0,AB74))</f>
        <v/>
      </c>
      <c r="AD74" s="12">
        <f>IF(AC74="","",IF(AC74&gt;0,"PROFIT",IF(AC74&lt;0,"LOSS","BREAKEVEN")))</f>
        <v/>
      </c>
      <c r="AE74" s="6" t="n"/>
      <c r="AF74" s="6" t="n"/>
      <c r="AG74" s="6" t="n"/>
      <c r="AH74" s="5" t="n"/>
    </row>
    <row r="75" ht="20" customHeight="1">
      <c r="A75" s="5" t="n"/>
      <c r="B75" s="6" t="n"/>
      <c r="C75" s="6" t="n"/>
      <c r="D75" s="7" t="n"/>
      <c r="E75" s="5" t="n"/>
      <c r="F75" s="6" t="n"/>
      <c r="G75" s="6" t="n"/>
      <c r="H75" s="6" t="n"/>
      <c r="I75" s="6" t="n"/>
      <c r="J75" s="5" t="n"/>
      <c r="K75" s="7" t="n"/>
      <c r="L75" s="6" t="n"/>
      <c r="M75" s="8" t="n"/>
      <c r="N75" s="8" t="n"/>
      <c r="O75" s="9">
        <f>IF(OR(M75="",N75="",N75=0),"",M75/N75)</f>
        <v/>
      </c>
      <c r="P75" s="10" t="n"/>
      <c r="Q75" s="10" t="n"/>
      <c r="R75" s="11">
        <f>IF(OR(M75="",P75=""),"",M75*P75)</f>
        <v/>
      </c>
      <c r="S75" s="11">
        <f>IF(OR(M75="",Q75=""),"",M75*Q75)</f>
        <v/>
      </c>
      <c r="T75" s="11">
        <f>IF(OR(R75="",S75=""),"",R75+S75)</f>
        <v/>
      </c>
      <c r="U75" s="11">
        <f>IF(OR(L75="",M75="",P75="",Q75=""),"",IF(UPPER(L75)="SHORT",(P75-Q75)*M75,(Q75-P75)*M75))</f>
        <v/>
      </c>
      <c r="V75" s="10" t="n"/>
      <c r="W75" s="10" t="n"/>
      <c r="X75" s="10" t="n"/>
      <c r="Y75" s="10" t="n"/>
      <c r="Z75" s="10" t="n"/>
      <c r="AA75" s="10" t="n"/>
      <c r="AB75" s="11">
        <f>IF(COUNTA(V75:AA75)=0,"",SUM(V75:AA75))</f>
        <v/>
      </c>
      <c r="AC75" s="11">
        <f>IF(U75="","",U75-IF(AB75="",0,AB75))</f>
        <v/>
      </c>
      <c r="AD75" s="12">
        <f>IF(AC75="","",IF(AC75&gt;0,"PROFIT",IF(AC75&lt;0,"LOSS","BREAKEVEN")))</f>
        <v/>
      </c>
      <c r="AE75" s="6" t="n"/>
      <c r="AF75" s="6" t="n"/>
      <c r="AG75" s="6" t="n"/>
      <c r="AH75" s="5" t="n"/>
    </row>
    <row r="76" ht="20" customHeight="1">
      <c r="A76" s="5" t="n"/>
      <c r="B76" s="6" t="n"/>
      <c r="C76" s="6" t="n"/>
      <c r="D76" s="7" t="n"/>
      <c r="E76" s="5" t="n"/>
      <c r="F76" s="6" t="n"/>
      <c r="G76" s="6" t="n"/>
      <c r="H76" s="6" t="n"/>
      <c r="I76" s="6" t="n"/>
      <c r="J76" s="5" t="n"/>
      <c r="K76" s="7" t="n"/>
      <c r="L76" s="6" t="n"/>
      <c r="M76" s="8" t="n"/>
      <c r="N76" s="8" t="n"/>
      <c r="O76" s="9">
        <f>IF(OR(M76="",N76="",N76=0),"",M76/N76)</f>
        <v/>
      </c>
      <c r="P76" s="10" t="n"/>
      <c r="Q76" s="10" t="n"/>
      <c r="R76" s="11">
        <f>IF(OR(M76="",P76=""),"",M76*P76)</f>
        <v/>
      </c>
      <c r="S76" s="11">
        <f>IF(OR(M76="",Q76=""),"",M76*Q76)</f>
        <v/>
      </c>
      <c r="T76" s="11">
        <f>IF(OR(R76="",S76=""),"",R76+S76)</f>
        <v/>
      </c>
      <c r="U76" s="11">
        <f>IF(OR(L76="",M76="",P76="",Q76=""),"",IF(UPPER(L76)="SHORT",(P76-Q76)*M76,(Q76-P76)*M76))</f>
        <v/>
      </c>
      <c r="V76" s="10" t="n"/>
      <c r="W76" s="10" t="n"/>
      <c r="X76" s="10" t="n"/>
      <c r="Y76" s="10" t="n"/>
      <c r="Z76" s="10" t="n"/>
      <c r="AA76" s="10" t="n"/>
      <c r="AB76" s="11">
        <f>IF(COUNTA(V76:AA76)=0,"",SUM(V76:AA76))</f>
        <v/>
      </c>
      <c r="AC76" s="11">
        <f>IF(U76="","",U76-IF(AB76="",0,AB76))</f>
        <v/>
      </c>
      <c r="AD76" s="12">
        <f>IF(AC76="","",IF(AC76&gt;0,"PROFIT",IF(AC76&lt;0,"LOSS","BREAKEVEN")))</f>
        <v/>
      </c>
      <c r="AE76" s="6" t="n"/>
      <c r="AF76" s="6" t="n"/>
      <c r="AG76" s="6" t="n"/>
      <c r="AH76" s="5" t="n"/>
    </row>
    <row r="77" ht="20" customHeight="1">
      <c r="A77" s="5" t="n"/>
      <c r="B77" s="6" t="n"/>
      <c r="C77" s="6" t="n"/>
      <c r="D77" s="7" t="n"/>
      <c r="E77" s="5" t="n"/>
      <c r="F77" s="6" t="n"/>
      <c r="G77" s="6" t="n"/>
      <c r="H77" s="6" t="n"/>
      <c r="I77" s="6" t="n"/>
      <c r="J77" s="5" t="n"/>
      <c r="K77" s="7" t="n"/>
      <c r="L77" s="6" t="n"/>
      <c r="M77" s="8" t="n"/>
      <c r="N77" s="8" t="n"/>
      <c r="O77" s="9">
        <f>IF(OR(M77="",N77="",N77=0),"",M77/N77)</f>
        <v/>
      </c>
      <c r="P77" s="10" t="n"/>
      <c r="Q77" s="10" t="n"/>
      <c r="R77" s="11">
        <f>IF(OR(M77="",P77=""),"",M77*P77)</f>
        <v/>
      </c>
      <c r="S77" s="11">
        <f>IF(OR(M77="",Q77=""),"",M77*Q77)</f>
        <v/>
      </c>
      <c r="T77" s="11">
        <f>IF(OR(R77="",S77=""),"",R77+S77)</f>
        <v/>
      </c>
      <c r="U77" s="11">
        <f>IF(OR(L77="",M77="",P77="",Q77=""),"",IF(UPPER(L77)="SHORT",(P77-Q77)*M77,(Q77-P77)*M77))</f>
        <v/>
      </c>
      <c r="V77" s="10" t="n"/>
      <c r="W77" s="10" t="n"/>
      <c r="X77" s="10" t="n"/>
      <c r="Y77" s="10" t="n"/>
      <c r="Z77" s="10" t="n"/>
      <c r="AA77" s="10" t="n"/>
      <c r="AB77" s="11">
        <f>IF(COUNTA(V77:AA77)=0,"",SUM(V77:AA77))</f>
        <v/>
      </c>
      <c r="AC77" s="11">
        <f>IF(U77="","",U77-IF(AB77="",0,AB77))</f>
        <v/>
      </c>
      <c r="AD77" s="12">
        <f>IF(AC77="","",IF(AC77&gt;0,"PROFIT",IF(AC77&lt;0,"LOSS","BREAKEVEN")))</f>
        <v/>
      </c>
      <c r="AE77" s="6" t="n"/>
      <c r="AF77" s="6" t="n"/>
      <c r="AG77" s="6" t="n"/>
      <c r="AH77" s="5" t="n"/>
    </row>
    <row r="78" ht="20" customHeight="1">
      <c r="A78" s="5" t="n"/>
      <c r="B78" s="6" t="n"/>
      <c r="C78" s="6" t="n"/>
      <c r="D78" s="7" t="n"/>
      <c r="E78" s="5" t="n"/>
      <c r="F78" s="6" t="n"/>
      <c r="G78" s="6" t="n"/>
      <c r="H78" s="6" t="n"/>
      <c r="I78" s="6" t="n"/>
      <c r="J78" s="5" t="n"/>
      <c r="K78" s="7" t="n"/>
      <c r="L78" s="6" t="n"/>
      <c r="M78" s="8" t="n"/>
      <c r="N78" s="8" t="n"/>
      <c r="O78" s="9">
        <f>IF(OR(M78="",N78="",N78=0),"",M78/N78)</f>
        <v/>
      </c>
      <c r="P78" s="10" t="n"/>
      <c r="Q78" s="10" t="n"/>
      <c r="R78" s="11">
        <f>IF(OR(M78="",P78=""),"",M78*P78)</f>
        <v/>
      </c>
      <c r="S78" s="11">
        <f>IF(OR(M78="",Q78=""),"",M78*Q78)</f>
        <v/>
      </c>
      <c r="T78" s="11">
        <f>IF(OR(R78="",S78=""),"",R78+S78)</f>
        <v/>
      </c>
      <c r="U78" s="11">
        <f>IF(OR(L78="",M78="",P78="",Q78=""),"",IF(UPPER(L78)="SHORT",(P78-Q78)*M78,(Q78-P78)*M78))</f>
        <v/>
      </c>
      <c r="V78" s="10" t="n"/>
      <c r="W78" s="10" t="n"/>
      <c r="X78" s="10" t="n"/>
      <c r="Y78" s="10" t="n"/>
      <c r="Z78" s="10" t="n"/>
      <c r="AA78" s="10" t="n"/>
      <c r="AB78" s="11">
        <f>IF(COUNTA(V78:AA78)=0,"",SUM(V78:AA78))</f>
        <v/>
      </c>
      <c r="AC78" s="11">
        <f>IF(U78="","",U78-IF(AB78="",0,AB78))</f>
        <v/>
      </c>
      <c r="AD78" s="12">
        <f>IF(AC78="","",IF(AC78&gt;0,"PROFIT",IF(AC78&lt;0,"LOSS","BREAKEVEN")))</f>
        <v/>
      </c>
      <c r="AE78" s="6" t="n"/>
      <c r="AF78" s="6" t="n"/>
      <c r="AG78" s="6" t="n"/>
      <c r="AH78" s="5" t="n"/>
    </row>
    <row r="79" ht="20" customHeight="1">
      <c r="A79" s="5" t="n"/>
      <c r="B79" s="6" t="n"/>
      <c r="C79" s="6" t="n"/>
      <c r="D79" s="7" t="n"/>
      <c r="E79" s="5" t="n"/>
      <c r="F79" s="6" t="n"/>
      <c r="G79" s="6" t="n"/>
      <c r="H79" s="6" t="n"/>
      <c r="I79" s="6" t="n"/>
      <c r="J79" s="5" t="n"/>
      <c r="K79" s="7" t="n"/>
      <c r="L79" s="6" t="n"/>
      <c r="M79" s="8" t="n"/>
      <c r="N79" s="8" t="n"/>
      <c r="O79" s="9">
        <f>IF(OR(M79="",N79="",N79=0),"",M79/N79)</f>
        <v/>
      </c>
      <c r="P79" s="10" t="n"/>
      <c r="Q79" s="10" t="n"/>
      <c r="R79" s="11">
        <f>IF(OR(M79="",P79=""),"",M79*P79)</f>
        <v/>
      </c>
      <c r="S79" s="11">
        <f>IF(OR(M79="",Q79=""),"",M79*Q79)</f>
        <v/>
      </c>
      <c r="T79" s="11">
        <f>IF(OR(R79="",S79=""),"",R79+S79)</f>
        <v/>
      </c>
      <c r="U79" s="11">
        <f>IF(OR(L79="",M79="",P79="",Q79=""),"",IF(UPPER(L79)="SHORT",(P79-Q79)*M79,(Q79-P79)*M79))</f>
        <v/>
      </c>
      <c r="V79" s="10" t="n"/>
      <c r="W79" s="10" t="n"/>
      <c r="X79" s="10" t="n"/>
      <c r="Y79" s="10" t="n"/>
      <c r="Z79" s="10" t="n"/>
      <c r="AA79" s="10" t="n"/>
      <c r="AB79" s="11">
        <f>IF(COUNTA(V79:AA79)=0,"",SUM(V79:AA79))</f>
        <v/>
      </c>
      <c r="AC79" s="11">
        <f>IF(U79="","",U79-IF(AB79="",0,AB79))</f>
        <v/>
      </c>
      <c r="AD79" s="12">
        <f>IF(AC79="","",IF(AC79&gt;0,"PROFIT",IF(AC79&lt;0,"LOSS","BREAKEVEN")))</f>
        <v/>
      </c>
      <c r="AE79" s="6" t="n"/>
      <c r="AF79" s="6" t="n"/>
      <c r="AG79" s="6" t="n"/>
      <c r="AH79" s="5" t="n"/>
    </row>
    <row r="80" ht="20" customHeight="1">
      <c r="A80" s="5" t="n"/>
      <c r="B80" s="6" t="n"/>
      <c r="C80" s="6" t="n"/>
      <c r="D80" s="7" t="n"/>
      <c r="E80" s="5" t="n"/>
      <c r="F80" s="6" t="n"/>
      <c r="G80" s="6" t="n"/>
      <c r="H80" s="6" t="n"/>
      <c r="I80" s="6" t="n"/>
      <c r="J80" s="5" t="n"/>
      <c r="K80" s="7" t="n"/>
      <c r="L80" s="6" t="n"/>
      <c r="M80" s="8" t="n"/>
      <c r="N80" s="8" t="n"/>
      <c r="O80" s="9">
        <f>IF(OR(M80="",N80="",N80=0),"",M80/N80)</f>
        <v/>
      </c>
      <c r="P80" s="10" t="n"/>
      <c r="Q80" s="10" t="n"/>
      <c r="R80" s="11">
        <f>IF(OR(M80="",P80=""),"",M80*P80)</f>
        <v/>
      </c>
      <c r="S80" s="11">
        <f>IF(OR(M80="",Q80=""),"",M80*Q80)</f>
        <v/>
      </c>
      <c r="T80" s="11">
        <f>IF(OR(R80="",S80=""),"",R80+S80)</f>
        <v/>
      </c>
      <c r="U80" s="11">
        <f>IF(OR(L80="",M80="",P80="",Q80=""),"",IF(UPPER(L80)="SHORT",(P80-Q80)*M80,(Q80-P80)*M80))</f>
        <v/>
      </c>
      <c r="V80" s="10" t="n"/>
      <c r="W80" s="10" t="n"/>
      <c r="X80" s="10" t="n"/>
      <c r="Y80" s="10" t="n"/>
      <c r="Z80" s="10" t="n"/>
      <c r="AA80" s="10" t="n"/>
      <c r="AB80" s="11">
        <f>IF(COUNTA(V80:AA80)=0,"",SUM(V80:AA80))</f>
        <v/>
      </c>
      <c r="AC80" s="11">
        <f>IF(U80="","",U80-IF(AB80="",0,AB80))</f>
        <v/>
      </c>
      <c r="AD80" s="12">
        <f>IF(AC80="","",IF(AC80&gt;0,"PROFIT",IF(AC80&lt;0,"LOSS","BREAKEVEN")))</f>
        <v/>
      </c>
      <c r="AE80" s="6" t="n"/>
      <c r="AF80" s="6" t="n"/>
      <c r="AG80" s="6" t="n"/>
      <c r="AH80" s="5" t="n"/>
    </row>
    <row r="81" ht="20" customHeight="1">
      <c r="A81" s="5" t="n"/>
      <c r="B81" s="6" t="n"/>
      <c r="C81" s="6" t="n"/>
      <c r="D81" s="7" t="n"/>
      <c r="E81" s="5" t="n"/>
      <c r="F81" s="6" t="n"/>
      <c r="G81" s="6" t="n"/>
      <c r="H81" s="6" t="n"/>
      <c r="I81" s="6" t="n"/>
      <c r="J81" s="5" t="n"/>
      <c r="K81" s="7" t="n"/>
      <c r="L81" s="6" t="n"/>
      <c r="M81" s="8" t="n"/>
      <c r="N81" s="8" t="n"/>
      <c r="O81" s="9">
        <f>IF(OR(M81="",N81="",N81=0),"",M81/N81)</f>
        <v/>
      </c>
      <c r="P81" s="10" t="n"/>
      <c r="Q81" s="10" t="n"/>
      <c r="R81" s="11">
        <f>IF(OR(M81="",P81=""),"",M81*P81)</f>
        <v/>
      </c>
      <c r="S81" s="11">
        <f>IF(OR(M81="",Q81=""),"",M81*Q81)</f>
        <v/>
      </c>
      <c r="T81" s="11">
        <f>IF(OR(R81="",S81=""),"",R81+S81)</f>
        <v/>
      </c>
      <c r="U81" s="11">
        <f>IF(OR(L81="",M81="",P81="",Q81=""),"",IF(UPPER(L81)="SHORT",(P81-Q81)*M81,(Q81-P81)*M81))</f>
        <v/>
      </c>
      <c r="V81" s="10" t="n"/>
      <c r="W81" s="10" t="n"/>
      <c r="X81" s="10" t="n"/>
      <c r="Y81" s="10" t="n"/>
      <c r="Z81" s="10" t="n"/>
      <c r="AA81" s="10" t="n"/>
      <c r="AB81" s="11">
        <f>IF(COUNTA(V81:AA81)=0,"",SUM(V81:AA81))</f>
        <v/>
      </c>
      <c r="AC81" s="11">
        <f>IF(U81="","",U81-IF(AB81="",0,AB81))</f>
        <v/>
      </c>
      <c r="AD81" s="12">
        <f>IF(AC81="","",IF(AC81&gt;0,"PROFIT",IF(AC81&lt;0,"LOSS","BREAKEVEN")))</f>
        <v/>
      </c>
      <c r="AE81" s="6" t="n"/>
      <c r="AF81" s="6" t="n"/>
      <c r="AG81" s="6" t="n"/>
      <c r="AH81" s="5" t="n"/>
    </row>
    <row r="82" ht="20" customHeight="1">
      <c r="A82" s="5" t="n"/>
      <c r="B82" s="6" t="n"/>
      <c r="C82" s="6" t="n"/>
      <c r="D82" s="7" t="n"/>
      <c r="E82" s="5" t="n"/>
      <c r="F82" s="6" t="n"/>
      <c r="G82" s="6" t="n"/>
      <c r="H82" s="6" t="n"/>
      <c r="I82" s="6" t="n"/>
      <c r="J82" s="5" t="n"/>
      <c r="K82" s="7" t="n"/>
      <c r="L82" s="6" t="n"/>
      <c r="M82" s="8" t="n"/>
      <c r="N82" s="8" t="n"/>
      <c r="O82" s="9">
        <f>IF(OR(M82="",N82="",N82=0),"",M82/N82)</f>
        <v/>
      </c>
      <c r="P82" s="10" t="n"/>
      <c r="Q82" s="10" t="n"/>
      <c r="R82" s="11">
        <f>IF(OR(M82="",P82=""),"",M82*P82)</f>
        <v/>
      </c>
      <c r="S82" s="11">
        <f>IF(OR(M82="",Q82=""),"",M82*Q82)</f>
        <v/>
      </c>
      <c r="T82" s="11">
        <f>IF(OR(R82="",S82=""),"",R82+S82)</f>
        <v/>
      </c>
      <c r="U82" s="11">
        <f>IF(OR(L82="",M82="",P82="",Q82=""),"",IF(UPPER(L82)="SHORT",(P82-Q82)*M82,(Q82-P82)*M82))</f>
        <v/>
      </c>
      <c r="V82" s="10" t="n"/>
      <c r="W82" s="10" t="n"/>
      <c r="X82" s="10" t="n"/>
      <c r="Y82" s="10" t="n"/>
      <c r="Z82" s="10" t="n"/>
      <c r="AA82" s="10" t="n"/>
      <c r="AB82" s="11">
        <f>IF(COUNTA(V82:AA82)=0,"",SUM(V82:AA82))</f>
        <v/>
      </c>
      <c r="AC82" s="11">
        <f>IF(U82="","",U82-IF(AB82="",0,AB82))</f>
        <v/>
      </c>
      <c r="AD82" s="12">
        <f>IF(AC82="","",IF(AC82&gt;0,"PROFIT",IF(AC82&lt;0,"LOSS","BREAKEVEN")))</f>
        <v/>
      </c>
      <c r="AE82" s="6" t="n"/>
      <c r="AF82" s="6" t="n"/>
      <c r="AG82" s="6" t="n"/>
      <c r="AH82" s="5" t="n"/>
    </row>
    <row r="83" ht="20" customHeight="1">
      <c r="A83" s="5" t="n"/>
      <c r="B83" s="6" t="n"/>
      <c r="C83" s="6" t="n"/>
      <c r="D83" s="7" t="n"/>
      <c r="E83" s="5" t="n"/>
      <c r="F83" s="6" t="n"/>
      <c r="G83" s="6" t="n"/>
      <c r="H83" s="6" t="n"/>
      <c r="I83" s="6" t="n"/>
      <c r="J83" s="5" t="n"/>
      <c r="K83" s="7" t="n"/>
      <c r="L83" s="6" t="n"/>
      <c r="M83" s="8" t="n"/>
      <c r="N83" s="8" t="n"/>
      <c r="O83" s="9">
        <f>IF(OR(M83="",N83="",N83=0),"",M83/N83)</f>
        <v/>
      </c>
      <c r="P83" s="10" t="n"/>
      <c r="Q83" s="10" t="n"/>
      <c r="R83" s="11">
        <f>IF(OR(M83="",P83=""),"",M83*P83)</f>
        <v/>
      </c>
      <c r="S83" s="11">
        <f>IF(OR(M83="",Q83=""),"",M83*Q83)</f>
        <v/>
      </c>
      <c r="T83" s="11">
        <f>IF(OR(R83="",S83=""),"",R83+S83)</f>
        <v/>
      </c>
      <c r="U83" s="11">
        <f>IF(OR(L83="",M83="",P83="",Q83=""),"",IF(UPPER(L83)="SHORT",(P83-Q83)*M83,(Q83-P83)*M83))</f>
        <v/>
      </c>
      <c r="V83" s="10" t="n"/>
      <c r="W83" s="10" t="n"/>
      <c r="X83" s="10" t="n"/>
      <c r="Y83" s="10" t="n"/>
      <c r="Z83" s="10" t="n"/>
      <c r="AA83" s="10" t="n"/>
      <c r="AB83" s="11">
        <f>IF(COUNTA(V83:AA83)=0,"",SUM(V83:AA83))</f>
        <v/>
      </c>
      <c r="AC83" s="11">
        <f>IF(U83="","",U83-IF(AB83="",0,AB83))</f>
        <v/>
      </c>
      <c r="AD83" s="12">
        <f>IF(AC83="","",IF(AC83&gt;0,"PROFIT",IF(AC83&lt;0,"LOSS","BREAKEVEN")))</f>
        <v/>
      </c>
      <c r="AE83" s="6" t="n"/>
      <c r="AF83" s="6" t="n"/>
      <c r="AG83" s="6" t="n"/>
      <c r="AH83" s="5" t="n"/>
    </row>
    <row r="84" ht="20" customHeight="1">
      <c r="A84" s="5" t="n"/>
      <c r="B84" s="6" t="n"/>
      <c r="C84" s="6" t="n"/>
      <c r="D84" s="7" t="n"/>
      <c r="E84" s="5" t="n"/>
      <c r="F84" s="6" t="n"/>
      <c r="G84" s="6" t="n"/>
      <c r="H84" s="6" t="n"/>
      <c r="I84" s="6" t="n"/>
      <c r="J84" s="5" t="n"/>
      <c r="K84" s="7" t="n"/>
      <c r="L84" s="6" t="n"/>
      <c r="M84" s="8" t="n"/>
      <c r="N84" s="8" t="n"/>
      <c r="O84" s="9">
        <f>IF(OR(M84="",N84="",N84=0),"",M84/N84)</f>
        <v/>
      </c>
      <c r="P84" s="10" t="n"/>
      <c r="Q84" s="10" t="n"/>
      <c r="R84" s="11">
        <f>IF(OR(M84="",P84=""),"",M84*P84)</f>
        <v/>
      </c>
      <c r="S84" s="11">
        <f>IF(OR(M84="",Q84=""),"",M84*Q84)</f>
        <v/>
      </c>
      <c r="T84" s="11">
        <f>IF(OR(R84="",S84=""),"",R84+S84)</f>
        <v/>
      </c>
      <c r="U84" s="11">
        <f>IF(OR(L84="",M84="",P84="",Q84=""),"",IF(UPPER(L84)="SHORT",(P84-Q84)*M84,(Q84-P84)*M84))</f>
        <v/>
      </c>
      <c r="V84" s="10" t="n"/>
      <c r="W84" s="10" t="n"/>
      <c r="X84" s="10" t="n"/>
      <c r="Y84" s="10" t="n"/>
      <c r="Z84" s="10" t="n"/>
      <c r="AA84" s="10" t="n"/>
      <c r="AB84" s="11">
        <f>IF(COUNTA(V84:AA84)=0,"",SUM(V84:AA84))</f>
        <v/>
      </c>
      <c r="AC84" s="11">
        <f>IF(U84="","",U84-IF(AB84="",0,AB84))</f>
        <v/>
      </c>
      <c r="AD84" s="12">
        <f>IF(AC84="","",IF(AC84&gt;0,"PROFIT",IF(AC84&lt;0,"LOSS","BREAKEVEN")))</f>
        <v/>
      </c>
      <c r="AE84" s="6" t="n"/>
      <c r="AF84" s="6" t="n"/>
      <c r="AG84" s="6" t="n"/>
      <c r="AH84" s="5" t="n"/>
    </row>
    <row r="85" ht="20" customHeight="1">
      <c r="A85" s="5" t="n"/>
      <c r="B85" s="6" t="n"/>
      <c r="C85" s="6" t="n"/>
      <c r="D85" s="7" t="n"/>
      <c r="E85" s="5" t="n"/>
      <c r="F85" s="6" t="n"/>
      <c r="G85" s="6" t="n"/>
      <c r="H85" s="6" t="n"/>
      <c r="I85" s="6" t="n"/>
      <c r="J85" s="5" t="n"/>
      <c r="K85" s="7" t="n"/>
      <c r="L85" s="6" t="n"/>
      <c r="M85" s="8" t="n"/>
      <c r="N85" s="8" t="n"/>
      <c r="O85" s="9">
        <f>IF(OR(M85="",N85="",N85=0),"",M85/N85)</f>
        <v/>
      </c>
      <c r="P85" s="10" t="n"/>
      <c r="Q85" s="10" t="n"/>
      <c r="R85" s="11">
        <f>IF(OR(M85="",P85=""),"",M85*P85)</f>
        <v/>
      </c>
      <c r="S85" s="11">
        <f>IF(OR(M85="",Q85=""),"",M85*Q85)</f>
        <v/>
      </c>
      <c r="T85" s="11">
        <f>IF(OR(R85="",S85=""),"",R85+S85)</f>
        <v/>
      </c>
      <c r="U85" s="11">
        <f>IF(OR(L85="",M85="",P85="",Q85=""),"",IF(UPPER(L85)="SHORT",(P85-Q85)*M85,(Q85-P85)*M85))</f>
        <v/>
      </c>
      <c r="V85" s="10" t="n"/>
      <c r="W85" s="10" t="n"/>
      <c r="X85" s="10" t="n"/>
      <c r="Y85" s="10" t="n"/>
      <c r="Z85" s="10" t="n"/>
      <c r="AA85" s="10" t="n"/>
      <c r="AB85" s="11">
        <f>IF(COUNTA(V85:AA85)=0,"",SUM(V85:AA85))</f>
        <v/>
      </c>
      <c r="AC85" s="11">
        <f>IF(U85="","",U85-IF(AB85="",0,AB85))</f>
        <v/>
      </c>
      <c r="AD85" s="12">
        <f>IF(AC85="","",IF(AC85&gt;0,"PROFIT",IF(AC85&lt;0,"LOSS","BREAKEVEN")))</f>
        <v/>
      </c>
      <c r="AE85" s="6" t="n"/>
      <c r="AF85" s="6" t="n"/>
      <c r="AG85" s="6" t="n"/>
      <c r="AH85" s="5" t="n"/>
    </row>
    <row r="86" ht="20" customHeight="1">
      <c r="A86" s="5" t="n"/>
      <c r="B86" s="6" t="n"/>
      <c r="C86" s="6" t="n"/>
      <c r="D86" s="7" t="n"/>
      <c r="E86" s="5" t="n"/>
      <c r="F86" s="6" t="n"/>
      <c r="G86" s="6" t="n"/>
      <c r="H86" s="6" t="n"/>
      <c r="I86" s="6" t="n"/>
      <c r="J86" s="5" t="n"/>
      <c r="K86" s="7" t="n"/>
      <c r="L86" s="6" t="n"/>
      <c r="M86" s="8" t="n"/>
      <c r="N86" s="8" t="n"/>
      <c r="O86" s="9">
        <f>IF(OR(M86="",N86="",N86=0),"",M86/N86)</f>
        <v/>
      </c>
      <c r="P86" s="10" t="n"/>
      <c r="Q86" s="10" t="n"/>
      <c r="R86" s="11">
        <f>IF(OR(M86="",P86=""),"",M86*P86)</f>
        <v/>
      </c>
      <c r="S86" s="11">
        <f>IF(OR(M86="",Q86=""),"",M86*Q86)</f>
        <v/>
      </c>
      <c r="T86" s="11">
        <f>IF(OR(R86="",S86=""),"",R86+S86)</f>
        <v/>
      </c>
      <c r="U86" s="11">
        <f>IF(OR(L86="",M86="",P86="",Q86=""),"",IF(UPPER(L86)="SHORT",(P86-Q86)*M86,(Q86-P86)*M86))</f>
        <v/>
      </c>
      <c r="V86" s="10" t="n"/>
      <c r="W86" s="10" t="n"/>
      <c r="X86" s="10" t="n"/>
      <c r="Y86" s="10" t="n"/>
      <c r="Z86" s="10" t="n"/>
      <c r="AA86" s="10" t="n"/>
      <c r="AB86" s="11">
        <f>IF(COUNTA(V86:AA86)=0,"",SUM(V86:AA86))</f>
        <v/>
      </c>
      <c r="AC86" s="11">
        <f>IF(U86="","",U86-IF(AB86="",0,AB86))</f>
        <v/>
      </c>
      <c r="AD86" s="12">
        <f>IF(AC86="","",IF(AC86&gt;0,"PROFIT",IF(AC86&lt;0,"LOSS","BREAKEVEN")))</f>
        <v/>
      </c>
      <c r="AE86" s="6" t="n"/>
      <c r="AF86" s="6" t="n"/>
      <c r="AG86" s="6" t="n"/>
      <c r="AH86" s="5" t="n"/>
    </row>
    <row r="87" ht="20" customHeight="1">
      <c r="A87" s="5" t="n"/>
      <c r="B87" s="6" t="n"/>
      <c r="C87" s="6" t="n"/>
      <c r="D87" s="7" t="n"/>
      <c r="E87" s="5" t="n"/>
      <c r="F87" s="6" t="n"/>
      <c r="G87" s="6" t="n"/>
      <c r="H87" s="6" t="n"/>
      <c r="I87" s="6" t="n"/>
      <c r="J87" s="5" t="n"/>
      <c r="K87" s="7" t="n"/>
      <c r="L87" s="6" t="n"/>
      <c r="M87" s="8" t="n"/>
      <c r="N87" s="8" t="n"/>
      <c r="O87" s="9">
        <f>IF(OR(M87="",N87="",N87=0),"",M87/N87)</f>
        <v/>
      </c>
      <c r="P87" s="10" t="n"/>
      <c r="Q87" s="10" t="n"/>
      <c r="R87" s="11">
        <f>IF(OR(M87="",P87=""),"",M87*P87)</f>
        <v/>
      </c>
      <c r="S87" s="11">
        <f>IF(OR(M87="",Q87=""),"",M87*Q87)</f>
        <v/>
      </c>
      <c r="T87" s="11">
        <f>IF(OR(R87="",S87=""),"",R87+S87)</f>
        <v/>
      </c>
      <c r="U87" s="11">
        <f>IF(OR(L87="",M87="",P87="",Q87=""),"",IF(UPPER(L87)="SHORT",(P87-Q87)*M87,(Q87-P87)*M87))</f>
        <v/>
      </c>
      <c r="V87" s="10" t="n"/>
      <c r="W87" s="10" t="n"/>
      <c r="X87" s="10" t="n"/>
      <c r="Y87" s="10" t="n"/>
      <c r="Z87" s="10" t="n"/>
      <c r="AA87" s="10" t="n"/>
      <c r="AB87" s="11">
        <f>IF(COUNTA(V87:AA87)=0,"",SUM(V87:AA87))</f>
        <v/>
      </c>
      <c r="AC87" s="11">
        <f>IF(U87="","",U87-IF(AB87="",0,AB87))</f>
        <v/>
      </c>
      <c r="AD87" s="12">
        <f>IF(AC87="","",IF(AC87&gt;0,"PROFIT",IF(AC87&lt;0,"LOSS","BREAKEVEN")))</f>
        <v/>
      </c>
      <c r="AE87" s="6" t="n"/>
      <c r="AF87" s="6" t="n"/>
      <c r="AG87" s="6" t="n"/>
      <c r="AH87" s="5" t="n"/>
    </row>
    <row r="88" ht="20" customHeight="1">
      <c r="A88" s="5" t="n"/>
      <c r="B88" s="6" t="n"/>
      <c r="C88" s="6" t="n"/>
      <c r="D88" s="7" t="n"/>
      <c r="E88" s="5" t="n"/>
      <c r="F88" s="6" t="n"/>
      <c r="G88" s="6" t="n"/>
      <c r="H88" s="6" t="n"/>
      <c r="I88" s="6" t="n"/>
      <c r="J88" s="5" t="n"/>
      <c r="K88" s="7" t="n"/>
      <c r="L88" s="6" t="n"/>
      <c r="M88" s="8" t="n"/>
      <c r="N88" s="8" t="n"/>
      <c r="O88" s="9">
        <f>IF(OR(M88="",N88="",N88=0),"",M88/N88)</f>
        <v/>
      </c>
      <c r="P88" s="10" t="n"/>
      <c r="Q88" s="10" t="n"/>
      <c r="R88" s="11">
        <f>IF(OR(M88="",P88=""),"",M88*P88)</f>
        <v/>
      </c>
      <c r="S88" s="11">
        <f>IF(OR(M88="",Q88=""),"",M88*Q88)</f>
        <v/>
      </c>
      <c r="T88" s="11">
        <f>IF(OR(R88="",S88=""),"",R88+S88)</f>
        <v/>
      </c>
      <c r="U88" s="11">
        <f>IF(OR(L88="",M88="",P88="",Q88=""),"",IF(UPPER(L88)="SHORT",(P88-Q88)*M88,(Q88-P88)*M88))</f>
        <v/>
      </c>
      <c r="V88" s="10" t="n"/>
      <c r="W88" s="10" t="n"/>
      <c r="X88" s="10" t="n"/>
      <c r="Y88" s="10" t="n"/>
      <c r="Z88" s="10" t="n"/>
      <c r="AA88" s="10" t="n"/>
      <c r="AB88" s="11">
        <f>IF(COUNTA(V88:AA88)=0,"",SUM(V88:AA88))</f>
        <v/>
      </c>
      <c r="AC88" s="11">
        <f>IF(U88="","",U88-IF(AB88="",0,AB88))</f>
        <v/>
      </c>
      <c r="AD88" s="12">
        <f>IF(AC88="","",IF(AC88&gt;0,"PROFIT",IF(AC88&lt;0,"LOSS","BREAKEVEN")))</f>
        <v/>
      </c>
      <c r="AE88" s="6" t="n"/>
      <c r="AF88" s="6" t="n"/>
      <c r="AG88" s="6" t="n"/>
      <c r="AH88" s="5" t="n"/>
    </row>
    <row r="89" ht="20" customHeight="1">
      <c r="A89" s="5" t="n"/>
      <c r="B89" s="6" t="n"/>
      <c r="C89" s="6" t="n"/>
      <c r="D89" s="7" t="n"/>
      <c r="E89" s="5" t="n"/>
      <c r="F89" s="6" t="n"/>
      <c r="G89" s="6" t="n"/>
      <c r="H89" s="6" t="n"/>
      <c r="I89" s="6" t="n"/>
      <c r="J89" s="5" t="n"/>
      <c r="K89" s="7" t="n"/>
      <c r="L89" s="6" t="n"/>
      <c r="M89" s="8" t="n"/>
      <c r="N89" s="8" t="n"/>
      <c r="O89" s="9">
        <f>IF(OR(M89="",N89="",N89=0),"",M89/N89)</f>
        <v/>
      </c>
      <c r="P89" s="10" t="n"/>
      <c r="Q89" s="10" t="n"/>
      <c r="R89" s="11">
        <f>IF(OR(M89="",P89=""),"",M89*P89)</f>
        <v/>
      </c>
      <c r="S89" s="11">
        <f>IF(OR(M89="",Q89=""),"",M89*Q89)</f>
        <v/>
      </c>
      <c r="T89" s="11">
        <f>IF(OR(R89="",S89=""),"",R89+S89)</f>
        <v/>
      </c>
      <c r="U89" s="11">
        <f>IF(OR(L89="",M89="",P89="",Q89=""),"",IF(UPPER(L89)="SHORT",(P89-Q89)*M89,(Q89-P89)*M89))</f>
        <v/>
      </c>
      <c r="V89" s="10" t="n"/>
      <c r="W89" s="10" t="n"/>
      <c r="X89" s="10" t="n"/>
      <c r="Y89" s="10" t="n"/>
      <c r="Z89" s="10" t="n"/>
      <c r="AA89" s="10" t="n"/>
      <c r="AB89" s="11">
        <f>IF(COUNTA(V89:AA89)=0,"",SUM(V89:AA89))</f>
        <v/>
      </c>
      <c r="AC89" s="11">
        <f>IF(U89="","",U89-IF(AB89="",0,AB89))</f>
        <v/>
      </c>
      <c r="AD89" s="12">
        <f>IF(AC89="","",IF(AC89&gt;0,"PROFIT",IF(AC89&lt;0,"LOSS","BREAKEVEN")))</f>
        <v/>
      </c>
      <c r="AE89" s="6" t="n"/>
      <c r="AF89" s="6" t="n"/>
      <c r="AG89" s="6" t="n"/>
      <c r="AH89" s="5" t="n"/>
    </row>
    <row r="90" ht="20" customHeight="1">
      <c r="A90" s="5" t="n"/>
      <c r="B90" s="6" t="n"/>
      <c r="C90" s="6" t="n"/>
      <c r="D90" s="7" t="n"/>
      <c r="E90" s="5" t="n"/>
      <c r="F90" s="6" t="n"/>
      <c r="G90" s="6" t="n"/>
      <c r="H90" s="6" t="n"/>
      <c r="I90" s="6" t="n"/>
      <c r="J90" s="5" t="n"/>
      <c r="K90" s="7" t="n"/>
      <c r="L90" s="6" t="n"/>
      <c r="M90" s="8" t="n"/>
      <c r="N90" s="8" t="n"/>
      <c r="O90" s="9">
        <f>IF(OR(M90="",N90="",N90=0),"",M90/N90)</f>
        <v/>
      </c>
      <c r="P90" s="10" t="n"/>
      <c r="Q90" s="10" t="n"/>
      <c r="R90" s="11">
        <f>IF(OR(M90="",P90=""),"",M90*P90)</f>
        <v/>
      </c>
      <c r="S90" s="11">
        <f>IF(OR(M90="",Q90=""),"",M90*Q90)</f>
        <v/>
      </c>
      <c r="T90" s="11">
        <f>IF(OR(R90="",S90=""),"",R90+S90)</f>
        <v/>
      </c>
      <c r="U90" s="11">
        <f>IF(OR(L90="",M90="",P90="",Q90=""),"",IF(UPPER(L90)="SHORT",(P90-Q90)*M90,(Q90-P90)*M90))</f>
        <v/>
      </c>
      <c r="V90" s="10" t="n"/>
      <c r="W90" s="10" t="n"/>
      <c r="X90" s="10" t="n"/>
      <c r="Y90" s="10" t="n"/>
      <c r="Z90" s="10" t="n"/>
      <c r="AA90" s="10" t="n"/>
      <c r="AB90" s="11">
        <f>IF(COUNTA(V90:AA90)=0,"",SUM(V90:AA90))</f>
        <v/>
      </c>
      <c r="AC90" s="11">
        <f>IF(U90="","",U90-IF(AB90="",0,AB90))</f>
        <v/>
      </c>
      <c r="AD90" s="12">
        <f>IF(AC90="","",IF(AC90&gt;0,"PROFIT",IF(AC90&lt;0,"LOSS","BREAKEVEN")))</f>
        <v/>
      </c>
      <c r="AE90" s="6" t="n"/>
      <c r="AF90" s="6" t="n"/>
      <c r="AG90" s="6" t="n"/>
      <c r="AH90" s="5" t="n"/>
    </row>
    <row r="91" ht="20" customHeight="1">
      <c r="A91" s="5" t="n"/>
      <c r="B91" s="6" t="n"/>
      <c r="C91" s="6" t="n"/>
      <c r="D91" s="7" t="n"/>
      <c r="E91" s="5" t="n"/>
      <c r="F91" s="6" t="n"/>
      <c r="G91" s="6" t="n"/>
      <c r="H91" s="6" t="n"/>
      <c r="I91" s="6" t="n"/>
      <c r="J91" s="5" t="n"/>
      <c r="K91" s="7" t="n"/>
      <c r="L91" s="6" t="n"/>
      <c r="M91" s="8" t="n"/>
      <c r="N91" s="8" t="n"/>
      <c r="O91" s="9">
        <f>IF(OR(M91="",N91="",N91=0),"",M91/N91)</f>
        <v/>
      </c>
      <c r="P91" s="10" t="n"/>
      <c r="Q91" s="10" t="n"/>
      <c r="R91" s="11">
        <f>IF(OR(M91="",P91=""),"",M91*P91)</f>
        <v/>
      </c>
      <c r="S91" s="11">
        <f>IF(OR(M91="",Q91=""),"",M91*Q91)</f>
        <v/>
      </c>
      <c r="T91" s="11">
        <f>IF(OR(R91="",S91=""),"",R91+S91)</f>
        <v/>
      </c>
      <c r="U91" s="11">
        <f>IF(OR(L91="",M91="",P91="",Q91=""),"",IF(UPPER(L91)="SHORT",(P91-Q91)*M91,(Q91-P91)*M91))</f>
        <v/>
      </c>
      <c r="V91" s="10" t="n"/>
      <c r="W91" s="10" t="n"/>
      <c r="X91" s="10" t="n"/>
      <c r="Y91" s="10" t="n"/>
      <c r="Z91" s="10" t="n"/>
      <c r="AA91" s="10" t="n"/>
      <c r="AB91" s="11">
        <f>IF(COUNTA(V91:AA91)=0,"",SUM(V91:AA91))</f>
        <v/>
      </c>
      <c r="AC91" s="11">
        <f>IF(U91="","",U91-IF(AB91="",0,AB91))</f>
        <v/>
      </c>
      <c r="AD91" s="12">
        <f>IF(AC91="","",IF(AC91&gt;0,"PROFIT",IF(AC91&lt;0,"LOSS","BREAKEVEN")))</f>
        <v/>
      </c>
      <c r="AE91" s="6" t="n"/>
      <c r="AF91" s="6" t="n"/>
      <c r="AG91" s="6" t="n"/>
      <c r="AH91" s="5" t="n"/>
    </row>
    <row r="92" ht="20" customHeight="1">
      <c r="A92" s="5" t="n"/>
      <c r="B92" s="6" t="n"/>
      <c r="C92" s="6" t="n"/>
      <c r="D92" s="7" t="n"/>
      <c r="E92" s="5" t="n"/>
      <c r="F92" s="6" t="n"/>
      <c r="G92" s="6" t="n"/>
      <c r="H92" s="6" t="n"/>
      <c r="I92" s="6" t="n"/>
      <c r="J92" s="5" t="n"/>
      <c r="K92" s="7" t="n"/>
      <c r="L92" s="6" t="n"/>
      <c r="M92" s="8" t="n"/>
      <c r="N92" s="8" t="n"/>
      <c r="O92" s="9">
        <f>IF(OR(M92="",N92="",N92=0),"",M92/N92)</f>
        <v/>
      </c>
      <c r="P92" s="10" t="n"/>
      <c r="Q92" s="10" t="n"/>
      <c r="R92" s="11">
        <f>IF(OR(M92="",P92=""),"",M92*P92)</f>
        <v/>
      </c>
      <c r="S92" s="11">
        <f>IF(OR(M92="",Q92=""),"",M92*Q92)</f>
        <v/>
      </c>
      <c r="T92" s="11">
        <f>IF(OR(R92="",S92=""),"",R92+S92)</f>
        <v/>
      </c>
      <c r="U92" s="11">
        <f>IF(OR(L92="",M92="",P92="",Q92=""),"",IF(UPPER(L92)="SHORT",(P92-Q92)*M92,(Q92-P92)*M92))</f>
        <v/>
      </c>
      <c r="V92" s="10" t="n"/>
      <c r="W92" s="10" t="n"/>
      <c r="X92" s="10" t="n"/>
      <c r="Y92" s="10" t="n"/>
      <c r="Z92" s="10" t="n"/>
      <c r="AA92" s="10" t="n"/>
      <c r="AB92" s="11">
        <f>IF(COUNTA(V92:AA92)=0,"",SUM(V92:AA92))</f>
        <v/>
      </c>
      <c r="AC92" s="11">
        <f>IF(U92="","",U92-IF(AB92="",0,AB92))</f>
        <v/>
      </c>
      <c r="AD92" s="12">
        <f>IF(AC92="","",IF(AC92&gt;0,"PROFIT",IF(AC92&lt;0,"LOSS","BREAKEVEN")))</f>
        <v/>
      </c>
      <c r="AE92" s="6" t="n"/>
      <c r="AF92" s="6" t="n"/>
      <c r="AG92" s="6" t="n"/>
      <c r="AH92" s="5" t="n"/>
    </row>
    <row r="93" ht="20" customHeight="1">
      <c r="A93" s="5" t="n"/>
      <c r="B93" s="6" t="n"/>
      <c r="C93" s="6" t="n"/>
      <c r="D93" s="7" t="n"/>
      <c r="E93" s="5" t="n"/>
      <c r="F93" s="6" t="n"/>
      <c r="G93" s="6" t="n"/>
      <c r="H93" s="6" t="n"/>
      <c r="I93" s="6" t="n"/>
      <c r="J93" s="5" t="n"/>
      <c r="K93" s="7" t="n"/>
      <c r="L93" s="6" t="n"/>
      <c r="M93" s="8" t="n"/>
      <c r="N93" s="8" t="n"/>
      <c r="O93" s="9">
        <f>IF(OR(M93="",N93="",N93=0),"",M93/N93)</f>
        <v/>
      </c>
      <c r="P93" s="10" t="n"/>
      <c r="Q93" s="10" t="n"/>
      <c r="R93" s="11">
        <f>IF(OR(M93="",P93=""),"",M93*P93)</f>
        <v/>
      </c>
      <c r="S93" s="11">
        <f>IF(OR(M93="",Q93=""),"",M93*Q93)</f>
        <v/>
      </c>
      <c r="T93" s="11">
        <f>IF(OR(R93="",S93=""),"",R93+S93)</f>
        <v/>
      </c>
      <c r="U93" s="11">
        <f>IF(OR(L93="",M93="",P93="",Q93=""),"",IF(UPPER(L93)="SHORT",(P93-Q93)*M93,(Q93-P93)*M93))</f>
        <v/>
      </c>
      <c r="V93" s="10" t="n"/>
      <c r="W93" s="10" t="n"/>
      <c r="X93" s="10" t="n"/>
      <c r="Y93" s="10" t="n"/>
      <c r="Z93" s="10" t="n"/>
      <c r="AA93" s="10" t="n"/>
      <c r="AB93" s="11">
        <f>IF(COUNTA(V93:AA93)=0,"",SUM(V93:AA93))</f>
        <v/>
      </c>
      <c r="AC93" s="11">
        <f>IF(U93="","",U93-IF(AB93="",0,AB93))</f>
        <v/>
      </c>
      <c r="AD93" s="12">
        <f>IF(AC93="","",IF(AC93&gt;0,"PROFIT",IF(AC93&lt;0,"LOSS","BREAKEVEN")))</f>
        <v/>
      </c>
      <c r="AE93" s="6" t="n"/>
      <c r="AF93" s="6" t="n"/>
      <c r="AG93" s="6" t="n"/>
      <c r="AH93" s="5" t="n"/>
    </row>
    <row r="94" ht="20" customHeight="1">
      <c r="A94" s="5" t="n"/>
      <c r="B94" s="6" t="n"/>
      <c r="C94" s="6" t="n"/>
      <c r="D94" s="7" t="n"/>
      <c r="E94" s="5" t="n"/>
      <c r="F94" s="6" t="n"/>
      <c r="G94" s="6" t="n"/>
      <c r="H94" s="6" t="n"/>
      <c r="I94" s="6" t="n"/>
      <c r="J94" s="5" t="n"/>
      <c r="K94" s="7" t="n"/>
      <c r="L94" s="6" t="n"/>
      <c r="M94" s="8" t="n"/>
      <c r="N94" s="8" t="n"/>
      <c r="O94" s="9">
        <f>IF(OR(M94="",N94="",N94=0),"",M94/N94)</f>
        <v/>
      </c>
      <c r="P94" s="10" t="n"/>
      <c r="Q94" s="10" t="n"/>
      <c r="R94" s="11">
        <f>IF(OR(M94="",P94=""),"",M94*P94)</f>
        <v/>
      </c>
      <c r="S94" s="11">
        <f>IF(OR(M94="",Q94=""),"",M94*Q94)</f>
        <v/>
      </c>
      <c r="T94" s="11">
        <f>IF(OR(R94="",S94=""),"",R94+S94)</f>
        <v/>
      </c>
      <c r="U94" s="11">
        <f>IF(OR(L94="",M94="",P94="",Q94=""),"",IF(UPPER(L94)="SHORT",(P94-Q94)*M94,(Q94-P94)*M94))</f>
        <v/>
      </c>
      <c r="V94" s="10" t="n"/>
      <c r="W94" s="10" t="n"/>
      <c r="X94" s="10" t="n"/>
      <c r="Y94" s="10" t="n"/>
      <c r="Z94" s="10" t="n"/>
      <c r="AA94" s="10" t="n"/>
      <c r="AB94" s="11">
        <f>IF(COUNTA(V94:AA94)=0,"",SUM(V94:AA94))</f>
        <v/>
      </c>
      <c r="AC94" s="11">
        <f>IF(U94="","",U94-IF(AB94="",0,AB94))</f>
        <v/>
      </c>
      <c r="AD94" s="12">
        <f>IF(AC94="","",IF(AC94&gt;0,"PROFIT",IF(AC94&lt;0,"LOSS","BREAKEVEN")))</f>
        <v/>
      </c>
      <c r="AE94" s="6" t="n"/>
      <c r="AF94" s="6" t="n"/>
      <c r="AG94" s="6" t="n"/>
      <c r="AH94" s="5" t="n"/>
    </row>
    <row r="95" ht="20" customHeight="1">
      <c r="A95" s="5" t="n"/>
      <c r="B95" s="6" t="n"/>
      <c r="C95" s="6" t="n"/>
      <c r="D95" s="7" t="n"/>
      <c r="E95" s="5" t="n"/>
      <c r="F95" s="6" t="n"/>
      <c r="G95" s="6" t="n"/>
      <c r="H95" s="6" t="n"/>
      <c r="I95" s="6" t="n"/>
      <c r="J95" s="5" t="n"/>
      <c r="K95" s="7" t="n"/>
      <c r="L95" s="6" t="n"/>
      <c r="M95" s="8" t="n"/>
      <c r="N95" s="8" t="n"/>
      <c r="O95" s="9">
        <f>IF(OR(M95="",N95="",N95=0),"",M95/N95)</f>
        <v/>
      </c>
      <c r="P95" s="10" t="n"/>
      <c r="Q95" s="10" t="n"/>
      <c r="R95" s="11">
        <f>IF(OR(M95="",P95=""),"",M95*P95)</f>
        <v/>
      </c>
      <c r="S95" s="11">
        <f>IF(OR(M95="",Q95=""),"",M95*Q95)</f>
        <v/>
      </c>
      <c r="T95" s="11">
        <f>IF(OR(R95="",S95=""),"",R95+S95)</f>
        <v/>
      </c>
      <c r="U95" s="11">
        <f>IF(OR(L95="",M95="",P95="",Q95=""),"",IF(UPPER(L95)="SHORT",(P95-Q95)*M95,(Q95-P95)*M95))</f>
        <v/>
      </c>
      <c r="V95" s="10" t="n"/>
      <c r="W95" s="10" t="n"/>
      <c r="X95" s="10" t="n"/>
      <c r="Y95" s="10" t="n"/>
      <c r="Z95" s="10" t="n"/>
      <c r="AA95" s="10" t="n"/>
      <c r="AB95" s="11">
        <f>IF(COUNTA(V95:AA95)=0,"",SUM(V95:AA95))</f>
        <v/>
      </c>
      <c r="AC95" s="11">
        <f>IF(U95="","",U95-IF(AB95="",0,AB95))</f>
        <v/>
      </c>
      <c r="AD95" s="12">
        <f>IF(AC95="","",IF(AC95&gt;0,"PROFIT",IF(AC95&lt;0,"LOSS","BREAKEVEN")))</f>
        <v/>
      </c>
      <c r="AE95" s="6" t="n"/>
      <c r="AF95" s="6" t="n"/>
      <c r="AG95" s="6" t="n"/>
      <c r="AH95" s="5" t="n"/>
    </row>
    <row r="96" ht="20" customHeight="1">
      <c r="A96" s="5" t="n"/>
      <c r="B96" s="6" t="n"/>
      <c r="C96" s="6" t="n"/>
      <c r="D96" s="7" t="n"/>
      <c r="E96" s="5" t="n"/>
      <c r="F96" s="6" t="n"/>
      <c r="G96" s="6" t="n"/>
      <c r="H96" s="6" t="n"/>
      <c r="I96" s="6" t="n"/>
      <c r="J96" s="5" t="n"/>
      <c r="K96" s="7" t="n"/>
      <c r="L96" s="6" t="n"/>
      <c r="M96" s="8" t="n"/>
      <c r="N96" s="8" t="n"/>
      <c r="O96" s="9">
        <f>IF(OR(M96="",N96="",N96=0),"",M96/N96)</f>
        <v/>
      </c>
      <c r="P96" s="10" t="n"/>
      <c r="Q96" s="10" t="n"/>
      <c r="R96" s="11">
        <f>IF(OR(M96="",P96=""),"",M96*P96)</f>
        <v/>
      </c>
      <c r="S96" s="11">
        <f>IF(OR(M96="",Q96=""),"",M96*Q96)</f>
        <v/>
      </c>
      <c r="T96" s="11">
        <f>IF(OR(R96="",S96=""),"",R96+S96)</f>
        <v/>
      </c>
      <c r="U96" s="11">
        <f>IF(OR(L96="",M96="",P96="",Q96=""),"",IF(UPPER(L96)="SHORT",(P96-Q96)*M96,(Q96-P96)*M96))</f>
        <v/>
      </c>
      <c r="V96" s="10" t="n"/>
      <c r="W96" s="10" t="n"/>
      <c r="X96" s="10" t="n"/>
      <c r="Y96" s="10" t="n"/>
      <c r="Z96" s="10" t="n"/>
      <c r="AA96" s="10" t="n"/>
      <c r="AB96" s="11">
        <f>IF(COUNTA(V96:AA96)=0,"",SUM(V96:AA96))</f>
        <v/>
      </c>
      <c r="AC96" s="11">
        <f>IF(U96="","",U96-IF(AB96="",0,AB96))</f>
        <v/>
      </c>
      <c r="AD96" s="12">
        <f>IF(AC96="","",IF(AC96&gt;0,"PROFIT",IF(AC96&lt;0,"LOSS","BREAKEVEN")))</f>
        <v/>
      </c>
      <c r="AE96" s="6" t="n"/>
      <c r="AF96" s="6" t="n"/>
      <c r="AG96" s="6" t="n"/>
      <c r="AH96" s="5" t="n"/>
    </row>
    <row r="97" ht="20" customHeight="1">
      <c r="A97" s="5" t="n"/>
      <c r="B97" s="6" t="n"/>
      <c r="C97" s="6" t="n"/>
      <c r="D97" s="7" t="n"/>
      <c r="E97" s="5" t="n"/>
      <c r="F97" s="6" t="n"/>
      <c r="G97" s="6" t="n"/>
      <c r="H97" s="6" t="n"/>
      <c r="I97" s="6" t="n"/>
      <c r="J97" s="5" t="n"/>
      <c r="K97" s="7" t="n"/>
      <c r="L97" s="6" t="n"/>
      <c r="M97" s="8" t="n"/>
      <c r="N97" s="8" t="n"/>
      <c r="O97" s="9">
        <f>IF(OR(M97="",N97="",N97=0),"",M97/N97)</f>
        <v/>
      </c>
      <c r="P97" s="10" t="n"/>
      <c r="Q97" s="10" t="n"/>
      <c r="R97" s="11">
        <f>IF(OR(M97="",P97=""),"",M97*P97)</f>
        <v/>
      </c>
      <c r="S97" s="11">
        <f>IF(OR(M97="",Q97=""),"",M97*Q97)</f>
        <v/>
      </c>
      <c r="T97" s="11">
        <f>IF(OR(R97="",S97=""),"",R97+S97)</f>
        <v/>
      </c>
      <c r="U97" s="11">
        <f>IF(OR(L97="",M97="",P97="",Q97=""),"",IF(UPPER(L97)="SHORT",(P97-Q97)*M97,(Q97-P97)*M97))</f>
        <v/>
      </c>
      <c r="V97" s="10" t="n"/>
      <c r="W97" s="10" t="n"/>
      <c r="X97" s="10" t="n"/>
      <c r="Y97" s="10" t="n"/>
      <c r="Z97" s="10" t="n"/>
      <c r="AA97" s="10" t="n"/>
      <c r="AB97" s="11">
        <f>IF(COUNTA(V97:AA97)=0,"",SUM(V97:AA97))</f>
        <v/>
      </c>
      <c r="AC97" s="11">
        <f>IF(U97="","",U97-IF(AB97="",0,AB97))</f>
        <v/>
      </c>
      <c r="AD97" s="12">
        <f>IF(AC97="","",IF(AC97&gt;0,"PROFIT",IF(AC97&lt;0,"LOSS","BREAKEVEN")))</f>
        <v/>
      </c>
      <c r="AE97" s="6" t="n"/>
      <c r="AF97" s="6" t="n"/>
      <c r="AG97" s="6" t="n"/>
      <c r="AH97" s="5" t="n"/>
    </row>
    <row r="98" ht="20" customHeight="1">
      <c r="A98" s="5" t="n"/>
      <c r="B98" s="6" t="n"/>
      <c r="C98" s="6" t="n"/>
      <c r="D98" s="7" t="n"/>
      <c r="E98" s="5" t="n"/>
      <c r="F98" s="6" t="n"/>
      <c r="G98" s="6" t="n"/>
      <c r="H98" s="6" t="n"/>
      <c r="I98" s="6" t="n"/>
      <c r="J98" s="5" t="n"/>
      <c r="K98" s="7" t="n"/>
      <c r="L98" s="6" t="n"/>
      <c r="M98" s="8" t="n"/>
      <c r="N98" s="8" t="n"/>
      <c r="O98" s="9">
        <f>IF(OR(M98="",N98="",N98=0),"",M98/N98)</f>
        <v/>
      </c>
      <c r="P98" s="10" t="n"/>
      <c r="Q98" s="10" t="n"/>
      <c r="R98" s="11">
        <f>IF(OR(M98="",P98=""),"",M98*P98)</f>
        <v/>
      </c>
      <c r="S98" s="11">
        <f>IF(OR(M98="",Q98=""),"",M98*Q98)</f>
        <v/>
      </c>
      <c r="T98" s="11">
        <f>IF(OR(R98="",S98=""),"",R98+S98)</f>
        <v/>
      </c>
      <c r="U98" s="11">
        <f>IF(OR(L98="",M98="",P98="",Q98=""),"",IF(UPPER(L98)="SHORT",(P98-Q98)*M98,(Q98-P98)*M98))</f>
        <v/>
      </c>
      <c r="V98" s="10" t="n"/>
      <c r="W98" s="10" t="n"/>
      <c r="X98" s="10" t="n"/>
      <c r="Y98" s="10" t="n"/>
      <c r="Z98" s="10" t="n"/>
      <c r="AA98" s="10" t="n"/>
      <c r="AB98" s="11">
        <f>IF(COUNTA(V98:AA98)=0,"",SUM(V98:AA98))</f>
        <v/>
      </c>
      <c r="AC98" s="11">
        <f>IF(U98="","",U98-IF(AB98="",0,AB98))</f>
        <v/>
      </c>
      <c r="AD98" s="12">
        <f>IF(AC98="","",IF(AC98&gt;0,"PROFIT",IF(AC98&lt;0,"LOSS","BREAKEVEN")))</f>
        <v/>
      </c>
      <c r="AE98" s="6" t="n"/>
      <c r="AF98" s="6" t="n"/>
      <c r="AG98" s="6" t="n"/>
      <c r="AH98" s="5" t="n"/>
    </row>
    <row r="99" ht="20" customHeight="1">
      <c r="A99" s="5" t="n"/>
      <c r="B99" s="6" t="n"/>
      <c r="C99" s="6" t="n"/>
      <c r="D99" s="7" t="n"/>
      <c r="E99" s="5" t="n"/>
      <c r="F99" s="6" t="n"/>
      <c r="G99" s="6" t="n"/>
      <c r="H99" s="6" t="n"/>
      <c r="I99" s="6" t="n"/>
      <c r="J99" s="5" t="n"/>
      <c r="K99" s="7" t="n"/>
      <c r="L99" s="6" t="n"/>
      <c r="M99" s="8" t="n"/>
      <c r="N99" s="8" t="n"/>
      <c r="O99" s="9">
        <f>IF(OR(M99="",N99="",N99=0),"",M99/N99)</f>
        <v/>
      </c>
      <c r="P99" s="10" t="n"/>
      <c r="Q99" s="10" t="n"/>
      <c r="R99" s="11">
        <f>IF(OR(M99="",P99=""),"",M99*P99)</f>
        <v/>
      </c>
      <c r="S99" s="11">
        <f>IF(OR(M99="",Q99=""),"",M99*Q99)</f>
        <v/>
      </c>
      <c r="T99" s="11">
        <f>IF(OR(R99="",S99=""),"",R99+S99)</f>
        <v/>
      </c>
      <c r="U99" s="11">
        <f>IF(OR(L99="",M99="",P99="",Q99=""),"",IF(UPPER(L99)="SHORT",(P99-Q99)*M99,(Q99-P99)*M99))</f>
        <v/>
      </c>
      <c r="V99" s="10" t="n"/>
      <c r="W99" s="10" t="n"/>
      <c r="X99" s="10" t="n"/>
      <c r="Y99" s="10" t="n"/>
      <c r="Z99" s="10" t="n"/>
      <c r="AA99" s="10" t="n"/>
      <c r="AB99" s="11">
        <f>IF(COUNTA(V99:AA99)=0,"",SUM(V99:AA99))</f>
        <v/>
      </c>
      <c r="AC99" s="11">
        <f>IF(U99="","",U99-IF(AB99="",0,AB99))</f>
        <v/>
      </c>
      <c r="AD99" s="12">
        <f>IF(AC99="","",IF(AC99&gt;0,"PROFIT",IF(AC99&lt;0,"LOSS","BREAKEVEN")))</f>
        <v/>
      </c>
      <c r="AE99" s="6" t="n"/>
      <c r="AF99" s="6" t="n"/>
      <c r="AG99" s="6" t="n"/>
      <c r="AH99" s="5" t="n"/>
    </row>
    <row r="100" ht="20" customHeight="1">
      <c r="A100" s="5" t="n"/>
      <c r="B100" s="6" t="n"/>
      <c r="C100" s="6" t="n"/>
      <c r="D100" s="7" t="n"/>
      <c r="E100" s="5" t="n"/>
      <c r="F100" s="6" t="n"/>
      <c r="G100" s="6" t="n"/>
      <c r="H100" s="6" t="n"/>
      <c r="I100" s="6" t="n"/>
      <c r="J100" s="5" t="n"/>
      <c r="K100" s="7" t="n"/>
      <c r="L100" s="6" t="n"/>
      <c r="M100" s="8" t="n"/>
      <c r="N100" s="8" t="n"/>
      <c r="O100" s="9">
        <f>IF(OR(M100="",N100="",N100=0),"",M100/N100)</f>
        <v/>
      </c>
      <c r="P100" s="10" t="n"/>
      <c r="Q100" s="10" t="n"/>
      <c r="R100" s="11">
        <f>IF(OR(M100="",P100=""),"",M100*P100)</f>
        <v/>
      </c>
      <c r="S100" s="11">
        <f>IF(OR(M100="",Q100=""),"",M100*Q100)</f>
        <v/>
      </c>
      <c r="T100" s="11">
        <f>IF(OR(R100="",S100=""),"",R100+S100)</f>
        <v/>
      </c>
      <c r="U100" s="11">
        <f>IF(OR(L100="",M100="",P100="",Q100=""),"",IF(UPPER(L100)="SHORT",(P100-Q100)*M100,(Q100-P100)*M100))</f>
        <v/>
      </c>
      <c r="V100" s="10" t="n"/>
      <c r="W100" s="10" t="n"/>
      <c r="X100" s="10" t="n"/>
      <c r="Y100" s="10" t="n"/>
      <c r="Z100" s="10" t="n"/>
      <c r="AA100" s="10" t="n"/>
      <c r="AB100" s="11">
        <f>IF(COUNTA(V100:AA100)=0,"",SUM(V100:AA100))</f>
        <v/>
      </c>
      <c r="AC100" s="11">
        <f>IF(U100="","",U100-IF(AB100="",0,AB100))</f>
        <v/>
      </c>
      <c r="AD100" s="12">
        <f>IF(AC100="","",IF(AC100&gt;0,"PROFIT",IF(AC100&lt;0,"LOSS","BREAKEVEN")))</f>
        <v/>
      </c>
      <c r="AE100" s="6" t="n"/>
      <c r="AF100" s="6" t="n"/>
      <c r="AG100" s="6" t="n"/>
      <c r="AH100" s="5" t="n"/>
    </row>
    <row r="101" ht="20" customHeight="1">
      <c r="A101" s="5" t="n"/>
      <c r="B101" s="6" t="n"/>
      <c r="C101" s="6" t="n"/>
      <c r="D101" s="7" t="n"/>
      <c r="E101" s="5" t="n"/>
      <c r="F101" s="6" t="n"/>
      <c r="G101" s="6" t="n"/>
      <c r="H101" s="6" t="n"/>
      <c r="I101" s="6" t="n"/>
      <c r="J101" s="5" t="n"/>
      <c r="K101" s="7" t="n"/>
      <c r="L101" s="6" t="n"/>
      <c r="M101" s="8" t="n"/>
      <c r="N101" s="8" t="n"/>
      <c r="O101" s="9">
        <f>IF(OR(M101="",N101="",N101=0),"",M101/N101)</f>
        <v/>
      </c>
      <c r="P101" s="10" t="n"/>
      <c r="Q101" s="10" t="n"/>
      <c r="R101" s="11">
        <f>IF(OR(M101="",P101=""),"",M101*P101)</f>
        <v/>
      </c>
      <c r="S101" s="11">
        <f>IF(OR(M101="",Q101=""),"",M101*Q101)</f>
        <v/>
      </c>
      <c r="T101" s="11">
        <f>IF(OR(R101="",S101=""),"",R101+S101)</f>
        <v/>
      </c>
      <c r="U101" s="11">
        <f>IF(OR(L101="",M101="",P101="",Q101=""),"",IF(UPPER(L101)="SHORT",(P101-Q101)*M101,(Q101-P101)*M101))</f>
        <v/>
      </c>
      <c r="V101" s="10" t="n"/>
      <c r="W101" s="10" t="n"/>
      <c r="X101" s="10" t="n"/>
      <c r="Y101" s="10" t="n"/>
      <c r="Z101" s="10" t="n"/>
      <c r="AA101" s="10" t="n"/>
      <c r="AB101" s="11">
        <f>IF(COUNTA(V101:AA101)=0,"",SUM(V101:AA101))</f>
        <v/>
      </c>
      <c r="AC101" s="11">
        <f>IF(U101="","",U101-IF(AB101="",0,AB101))</f>
        <v/>
      </c>
      <c r="AD101" s="12">
        <f>IF(AC101="","",IF(AC101&gt;0,"PROFIT",IF(AC101&lt;0,"LOSS","BREAKEVEN")))</f>
        <v/>
      </c>
      <c r="AE101" s="6" t="n"/>
      <c r="AF101" s="6" t="n"/>
      <c r="AG101" s="6" t="n"/>
      <c r="AH101" s="5" t="n"/>
    </row>
    <row r="102" ht="20" customHeight="1">
      <c r="A102" s="5" t="n"/>
      <c r="B102" s="6" t="n"/>
      <c r="C102" s="6" t="n"/>
      <c r="D102" s="7" t="n"/>
      <c r="E102" s="5" t="n"/>
      <c r="F102" s="6" t="n"/>
      <c r="G102" s="6" t="n"/>
      <c r="H102" s="6" t="n"/>
      <c r="I102" s="6" t="n"/>
      <c r="J102" s="5" t="n"/>
      <c r="K102" s="7" t="n"/>
      <c r="L102" s="6" t="n"/>
      <c r="M102" s="8" t="n"/>
      <c r="N102" s="8" t="n"/>
      <c r="O102" s="9">
        <f>IF(OR(M102="",N102="",N102=0),"",M102/N102)</f>
        <v/>
      </c>
      <c r="P102" s="10" t="n"/>
      <c r="Q102" s="10" t="n"/>
      <c r="R102" s="11">
        <f>IF(OR(M102="",P102=""),"",M102*P102)</f>
        <v/>
      </c>
      <c r="S102" s="11">
        <f>IF(OR(M102="",Q102=""),"",M102*Q102)</f>
        <v/>
      </c>
      <c r="T102" s="11">
        <f>IF(OR(R102="",S102=""),"",R102+S102)</f>
        <v/>
      </c>
      <c r="U102" s="11">
        <f>IF(OR(L102="",M102="",P102="",Q102=""),"",IF(UPPER(L102)="SHORT",(P102-Q102)*M102,(Q102-P102)*M102))</f>
        <v/>
      </c>
      <c r="V102" s="10" t="n"/>
      <c r="W102" s="10" t="n"/>
      <c r="X102" s="10" t="n"/>
      <c r="Y102" s="10" t="n"/>
      <c r="Z102" s="10" t="n"/>
      <c r="AA102" s="10" t="n"/>
      <c r="AB102" s="11">
        <f>IF(COUNTA(V102:AA102)=0,"",SUM(V102:AA102))</f>
        <v/>
      </c>
      <c r="AC102" s="11">
        <f>IF(U102="","",U102-IF(AB102="",0,AB102))</f>
        <v/>
      </c>
      <c r="AD102" s="12">
        <f>IF(AC102="","",IF(AC102&gt;0,"PROFIT",IF(AC102&lt;0,"LOSS","BREAKEVEN")))</f>
        <v/>
      </c>
      <c r="AE102" s="6" t="n"/>
      <c r="AF102" s="6" t="n"/>
      <c r="AG102" s="6" t="n"/>
      <c r="AH102" s="5" t="n"/>
    </row>
    <row r="103" ht="20" customHeight="1">
      <c r="A103" s="5" t="n"/>
      <c r="B103" s="6" t="n"/>
      <c r="C103" s="6" t="n"/>
      <c r="D103" s="7" t="n"/>
      <c r="E103" s="5" t="n"/>
      <c r="F103" s="6" t="n"/>
      <c r="G103" s="6" t="n"/>
      <c r="H103" s="6" t="n"/>
      <c r="I103" s="6" t="n"/>
      <c r="J103" s="5" t="n"/>
      <c r="K103" s="7" t="n"/>
      <c r="L103" s="6" t="n"/>
      <c r="M103" s="8" t="n"/>
      <c r="N103" s="8" t="n"/>
      <c r="O103" s="9">
        <f>IF(OR(M103="",N103="",N103=0),"",M103/N103)</f>
        <v/>
      </c>
      <c r="P103" s="10" t="n"/>
      <c r="Q103" s="10" t="n"/>
      <c r="R103" s="11">
        <f>IF(OR(M103="",P103=""),"",M103*P103)</f>
        <v/>
      </c>
      <c r="S103" s="11">
        <f>IF(OR(M103="",Q103=""),"",M103*Q103)</f>
        <v/>
      </c>
      <c r="T103" s="11">
        <f>IF(OR(R103="",S103=""),"",R103+S103)</f>
        <v/>
      </c>
      <c r="U103" s="11">
        <f>IF(OR(L103="",M103="",P103="",Q103=""),"",IF(UPPER(L103)="SHORT",(P103-Q103)*M103,(Q103-P103)*M103))</f>
        <v/>
      </c>
      <c r="V103" s="10" t="n"/>
      <c r="W103" s="10" t="n"/>
      <c r="X103" s="10" t="n"/>
      <c r="Y103" s="10" t="n"/>
      <c r="Z103" s="10" t="n"/>
      <c r="AA103" s="10" t="n"/>
      <c r="AB103" s="11">
        <f>IF(COUNTA(V103:AA103)=0,"",SUM(V103:AA103))</f>
        <v/>
      </c>
      <c r="AC103" s="11">
        <f>IF(U103="","",U103-IF(AB103="",0,AB103))</f>
        <v/>
      </c>
      <c r="AD103" s="12">
        <f>IF(AC103="","",IF(AC103&gt;0,"PROFIT",IF(AC103&lt;0,"LOSS","BREAKEVEN")))</f>
        <v/>
      </c>
      <c r="AE103" s="6" t="n"/>
      <c r="AF103" s="6" t="n"/>
      <c r="AG103" s="6" t="n"/>
      <c r="AH103" s="5" t="n"/>
    </row>
    <row r="104" ht="20" customHeight="1">
      <c r="A104" s="5" t="n"/>
      <c r="B104" s="6" t="n"/>
      <c r="C104" s="6" t="n"/>
      <c r="D104" s="7" t="n"/>
      <c r="E104" s="5" t="n"/>
      <c r="F104" s="6" t="n"/>
      <c r="G104" s="6" t="n"/>
      <c r="H104" s="6" t="n"/>
      <c r="I104" s="6" t="n"/>
      <c r="J104" s="5" t="n"/>
      <c r="K104" s="7" t="n"/>
      <c r="L104" s="6" t="n"/>
      <c r="M104" s="8" t="n"/>
      <c r="N104" s="8" t="n"/>
      <c r="O104" s="9">
        <f>IF(OR(M104="",N104="",N104=0),"",M104/N104)</f>
        <v/>
      </c>
      <c r="P104" s="10" t="n"/>
      <c r="Q104" s="10" t="n"/>
      <c r="R104" s="11">
        <f>IF(OR(M104="",P104=""),"",M104*P104)</f>
        <v/>
      </c>
      <c r="S104" s="11">
        <f>IF(OR(M104="",Q104=""),"",M104*Q104)</f>
        <v/>
      </c>
      <c r="T104" s="11">
        <f>IF(OR(R104="",S104=""),"",R104+S104)</f>
        <v/>
      </c>
      <c r="U104" s="11">
        <f>IF(OR(L104="",M104="",P104="",Q104=""),"",IF(UPPER(L104)="SHORT",(P104-Q104)*M104,(Q104-P104)*M104))</f>
        <v/>
      </c>
      <c r="V104" s="10" t="n"/>
      <c r="W104" s="10" t="n"/>
      <c r="X104" s="10" t="n"/>
      <c r="Y104" s="10" t="n"/>
      <c r="Z104" s="10" t="n"/>
      <c r="AA104" s="10" t="n"/>
      <c r="AB104" s="11">
        <f>IF(COUNTA(V104:AA104)=0,"",SUM(V104:AA104))</f>
        <v/>
      </c>
      <c r="AC104" s="11">
        <f>IF(U104="","",U104-IF(AB104="",0,AB104))</f>
        <v/>
      </c>
      <c r="AD104" s="12">
        <f>IF(AC104="","",IF(AC104&gt;0,"PROFIT",IF(AC104&lt;0,"LOSS","BREAKEVEN")))</f>
        <v/>
      </c>
      <c r="AE104" s="6" t="n"/>
      <c r="AF104" s="6" t="n"/>
      <c r="AG104" s="6" t="n"/>
      <c r="AH104" s="5" t="n"/>
    </row>
    <row r="105" ht="20" customHeight="1">
      <c r="A105" s="5" t="n"/>
      <c r="B105" s="6" t="n"/>
      <c r="C105" s="6" t="n"/>
      <c r="D105" s="7" t="n"/>
      <c r="E105" s="5" t="n"/>
      <c r="F105" s="6" t="n"/>
      <c r="G105" s="6" t="n"/>
      <c r="H105" s="6" t="n"/>
      <c r="I105" s="6" t="n"/>
      <c r="J105" s="5" t="n"/>
      <c r="K105" s="7" t="n"/>
      <c r="L105" s="6" t="n"/>
      <c r="M105" s="8" t="n"/>
      <c r="N105" s="8" t="n"/>
      <c r="O105" s="9">
        <f>IF(OR(M105="",N105="",N105=0),"",M105/N105)</f>
        <v/>
      </c>
      <c r="P105" s="10" t="n"/>
      <c r="Q105" s="10" t="n"/>
      <c r="R105" s="11">
        <f>IF(OR(M105="",P105=""),"",M105*P105)</f>
        <v/>
      </c>
      <c r="S105" s="11">
        <f>IF(OR(M105="",Q105=""),"",M105*Q105)</f>
        <v/>
      </c>
      <c r="T105" s="11">
        <f>IF(OR(R105="",S105=""),"",R105+S105)</f>
        <v/>
      </c>
      <c r="U105" s="11">
        <f>IF(OR(L105="",M105="",P105="",Q105=""),"",IF(UPPER(L105)="SHORT",(P105-Q105)*M105,(Q105-P105)*M105))</f>
        <v/>
      </c>
      <c r="V105" s="10" t="n"/>
      <c r="W105" s="10" t="n"/>
      <c r="X105" s="10" t="n"/>
      <c r="Y105" s="10" t="n"/>
      <c r="Z105" s="10" t="n"/>
      <c r="AA105" s="10" t="n"/>
      <c r="AB105" s="11">
        <f>IF(COUNTA(V105:AA105)=0,"",SUM(V105:AA105))</f>
        <v/>
      </c>
      <c r="AC105" s="11">
        <f>IF(U105="","",U105-IF(AB105="",0,AB105))</f>
        <v/>
      </c>
      <c r="AD105" s="12">
        <f>IF(AC105="","",IF(AC105&gt;0,"PROFIT",IF(AC105&lt;0,"LOSS","BREAKEVEN")))</f>
        <v/>
      </c>
      <c r="AE105" s="6" t="n"/>
      <c r="AF105" s="6" t="n"/>
      <c r="AG105" s="6" t="n"/>
      <c r="AH105" s="5" t="n"/>
    </row>
    <row r="106" ht="20" customHeight="1">
      <c r="A106" s="5" t="n"/>
      <c r="B106" s="6" t="n"/>
      <c r="C106" s="6" t="n"/>
      <c r="D106" s="7" t="n"/>
      <c r="E106" s="5" t="n"/>
      <c r="F106" s="6" t="n"/>
      <c r="G106" s="6" t="n"/>
      <c r="H106" s="6" t="n"/>
      <c r="I106" s="6" t="n"/>
      <c r="J106" s="5" t="n"/>
      <c r="K106" s="7" t="n"/>
      <c r="L106" s="6" t="n"/>
      <c r="M106" s="8" t="n"/>
      <c r="N106" s="8" t="n"/>
      <c r="O106" s="9">
        <f>IF(OR(M106="",N106="",N106=0),"",M106/N106)</f>
        <v/>
      </c>
      <c r="P106" s="10" t="n"/>
      <c r="Q106" s="10" t="n"/>
      <c r="R106" s="11">
        <f>IF(OR(M106="",P106=""),"",M106*P106)</f>
        <v/>
      </c>
      <c r="S106" s="11">
        <f>IF(OR(M106="",Q106=""),"",M106*Q106)</f>
        <v/>
      </c>
      <c r="T106" s="11">
        <f>IF(OR(R106="",S106=""),"",R106+S106)</f>
        <v/>
      </c>
      <c r="U106" s="11">
        <f>IF(OR(L106="",M106="",P106="",Q106=""),"",IF(UPPER(L106)="SHORT",(P106-Q106)*M106,(Q106-P106)*M106))</f>
        <v/>
      </c>
      <c r="V106" s="10" t="n"/>
      <c r="W106" s="10" t="n"/>
      <c r="X106" s="10" t="n"/>
      <c r="Y106" s="10" t="n"/>
      <c r="Z106" s="10" t="n"/>
      <c r="AA106" s="10" t="n"/>
      <c r="AB106" s="11">
        <f>IF(COUNTA(V106:AA106)=0,"",SUM(V106:AA106))</f>
        <v/>
      </c>
      <c r="AC106" s="11">
        <f>IF(U106="","",U106-IF(AB106="",0,AB106))</f>
        <v/>
      </c>
      <c r="AD106" s="12">
        <f>IF(AC106="","",IF(AC106&gt;0,"PROFIT",IF(AC106&lt;0,"LOSS","BREAKEVEN")))</f>
        <v/>
      </c>
      <c r="AE106" s="6" t="n"/>
      <c r="AF106" s="6" t="n"/>
      <c r="AG106" s="6" t="n"/>
      <c r="AH106" s="5" t="n"/>
    </row>
    <row r="107" ht="20" customHeight="1">
      <c r="A107" s="5" t="n"/>
      <c r="B107" s="6" t="n"/>
      <c r="C107" s="6" t="n"/>
      <c r="D107" s="7" t="n"/>
      <c r="E107" s="5" t="n"/>
      <c r="F107" s="6" t="n"/>
      <c r="G107" s="6" t="n"/>
      <c r="H107" s="6" t="n"/>
      <c r="I107" s="6" t="n"/>
      <c r="J107" s="5" t="n"/>
      <c r="K107" s="7" t="n"/>
      <c r="L107" s="6" t="n"/>
      <c r="M107" s="8" t="n"/>
      <c r="N107" s="8" t="n"/>
      <c r="O107" s="9">
        <f>IF(OR(M107="",N107="",N107=0),"",M107/N107)</f>
        <v/>
      </c>
      <c r="P107" s="10" t="n"/>
      <c r="Q107" s="10" t="n"/>
      <c r="R107" s="11">
        <f>IF(OR(M107="",P107=""),"",M107*P107)</f>
        <v/>
      </c>
      <c r="S107" s="11">
        <f>IF(OR(M107="",Q107=""),"",M107*Q107)</f>
        <v/>
      </c>
      <c r="T107" s="11">
        <f>IF(OR(R107="",S107=""),"",R107+S107)</f>
        <v/>
      </c>
      <c r="U107" s="11">
        <f>IF(OR(L107="",M107="",P107="",Q107=""),"",IF(UPPER(L107)="SHORT",(P107-Q107)*M107,(Q107-P107)*M107))</f>
        <v/>
      </c>
      <c r="V107" s="10" t="n"/>
      <c r="W107" s="10" t="n"/>
      <c r="X107" s="10" t="n"/>
      <c r="Y107" s="10" t="n"/>
      <c r="Z107" s="10" t="n"/>
      <c r="AA107" s="10" t="n"/>
      <c r="AB107" s="11">
        <f>IF(COUNTA(V107:AA107)=0,"",SUM(V107:AA107))</f>
        <v/>
      </c>
      <c r="AC107" s="11">
        <f>IF(U107="","",U107-IF(AB107="",0,AB107))</f>
        <v/>
      </c>
      <c r="AD107" s="12">
        <f>IF(AC107="","",IF(AC107&gt;0,"PROFIT",IF(AC107&lt;0,"LOSS","BREAKEVEN")))</f>
        <v/>
      </c>
      <c r="AE107" s="6" t="n"/>
      <c r="AF107" s="6" t="n"/>
      <c r="AG107" s="6" t="n"/>
      <c r="AH107" s="5" t="n"/>
    </row>
    <row r="108" ht="20" customHeight="1">
      <c r="A108" s="5" t="n"/>
      <c r="B108" s="6" t="n"/>
      <c r="C108" s="6" t="n"/>
      <c r="D108" s="7" t="n"/>
      <c r="E108" s="5" t="n"/>
      <c r="F108" s="6" t="n"/>
      <c r="G108" s="6" t="n"/>
      <c r="H108" s="6" t="n"/>
      <c r="I108" s="6" t="n"/>
      <c r="J108" s="5" t="n"/>
      <c r="K108" s="7" t="n"/>
      <c r="L108" s="6" t="n"/>
      <c r="M108" s="8" t="n"/>
      <c r="N108" s="8" t="n"/>
      <c r="O108" s="9">
        <f>IF(OR(M108="",N108="",N108=0),"",M108/N108)</f>
        <v/>
      </c>
      <c r="P108" s="10" t="n"/>
      <c r="Q108" s="10" t="n"/>
      <c r="R108" s="11">
        <f>IF(OR(M108="",P108=""),"",M108*P108)</f>
        <v/>
      </c>
      <c r="S108" s="11">
        <f>IF(OR(M108="",Q108=""),"",M108*Q108)</f>
        <v/>
      </c>
      <c r="T108" s="11">
        <f>IF(OR(R108="",S108=""),"",R108+S108)</f>
        <v/>
      </c>
      <c r="U108" s="11">
        <f>IF(OR(L108="",M108="",P108="",Q108=""),"",IF(UPPER(L108)="SHORT",(P108-Q108)*M108,(Q108-P108)*M108))</f>
        <v/>
      </c>
      <c r="V108" s="10" t="n"/>
      <c r="W108" s="10" t="n"/>
      <c r="X108" s="10" t="n"/>
      <c r="Y108" s="10" t="n"/>
      <c r="Z108" s="10" t="n"/>
      <c r="AA108" s="10" t="n"/>
      <c r="AB108" s="11">
        <f>IF(COUNTA(V108:AA108)=0,"",SUM(V108:AA108))</f>
        <v/>
      </c>
      <c r="AC108" s="11">
        <f>IF(U108="","",U108-IF(AB108="",0,AB108))</f>
        <v/>
      </c>
      <c r="AD108" s="12">
        <f>IF(AC108="","",IF(AC108&gt;0,"PROFIT",IF(AC108&lt;0,"LOSS","BREAKEVEN")))</f>
        <v/>
      </c>
      <c r="AE108" s="6" t="n"/>
      <c r="AF108" s="6" t="n"/>
      <c r="AG108" s="6" t="n"/>
      <c r="AH108" s="5" t="n"/>
    </row>
    <row r="109" ht="20" customHeight="1">
      <c r="A109" s="5" t="n"/>
      <c r="B109" s="6" t="n"/>
      <c r="C109" s="6" t="n"/>
      <c r="D109" s="7" t="n"/>
      <c r="E109" s="5" t="n"/>
      <c r="F109" s="6" t="n"/>
      <c r="G109" s="6" t="n"/>
      <c r="H109" s="6" t="n"/>
      <c r="I109" s="6" t="n"/>
      <c r="J109" s="5" t="n"/>
      <c r="K109" s="7" t="n"/>
      <c r="L109" s="6" t="n"/>
      <c r="M109" s="8" t="n"/>
      <c r="N109" s="8" t="n"/>
      <c r="O109" s="9">
        <f>IF(OR(M109="",N109="",N109=0),"",M109/N109)</f>
        <v/>
      </c>
      <c r="P109" s="10" t="n"/>
      <c r="Q109" s="10" t="n"/>
      <c r="R109" s="11">
        <f>IF(OR(M109="",P109=""),"",M109*P109)</f>
        <v/>
      </c>
      <c r="S109" s="11">
        <f>IF(OR(M109="",Q109=""),"",M109*Q109)</f>
        <v/>
      </c>
      <c r="T109" s="11">
        <f>IF(OR(R109="",S109=""),"",R109+S109)</f>
        <v/>
      </c>
      <c r="U109" s="11">
        <f>IF(OR(L109="",M109="",P109="",Q109=""),"",IF(UPPER(L109)="SHORT",(P109-Q109)*M109,(Q109-P109)*M109))</f>
        <v/>
      </c>
      <c r="V109" s="10" t="n"/>
      <c r="W109" s="10" t="n"/>
      <c r="X109" s="10" t="n"/>
      <c r="Y109" s="10" t="n"/>
      <c r="Z109" s="10" t="n"/>
      <c r="AA109" s="10" t="n"/>
      <c r="AB109" s="11">
        <f>IF(COUNTA(V109:AA109)=0,"",SUM(V109:AA109))</f>
        <v/>
      </c>
      <c r="AC109" s="11">
        <f>IF(U109="","",U109-IF(AB109="",0,AB109))</f>
        <v/>
      </c>
      <c r="AD109" s="12">
        <f>IF(AC109="","",IF(AC109&gt;0,"PROFIT",IF(AC109&lt;0,"LOSS","BREAKEVEN")))</f>
        <v/>
      </c>
      <c r="AE109" s="6" t="n"/>
      <c r="AF109" s="6" t="n"/>
      <c r="AG109" s="6" t="n"/>
      <c r="AH109" s="5" t="n"/>
    </row>
    <row r="110" ht="20" customHeight="1">
      <c r="A110" s="5" t="n"/>
      <c r="B110" s="6" t="n"/>
      <c r="C110" s="6" t="n"/>
      <c r="D110" s="7" t="n"/>
      <c r="E110" s="5" t="n"/>
      <c r="F110" s="6" t="n"/>
      <c r="G110" s="6" t="n"/>
      <c r="H110" s="6" t="n"/>
      <c r="I110" s="6" t="n"/>
      <c r="J110" s="5" t="n"/>
      <c r="K110" s="7" t="n"/>
      <c r="L110" s="6" t="n"/>
      <c r="M110" s="8" t="n"/>
      <c r="N110" s="8" t="n"/>
      <c r="O110" s="9">
        <f>IF(OR(M110="",N110="",N110=0),"",M110/N110)</f>
        <v/>
      </c>
      <c r="P110" s="10" t="n"/>
      <c r="Q110" s="10" t="n"/>
      <c r="R110" s="11">
        <f>IF(OR(M110="",P110=""),"",M110*P110)</f>
        <v/>
      </c>
      <c r="S110" s="11">
        <f>IF(OR(M110="",Q110=""),"",M110*Q110)</f>
        <v/>
      </c>
      <c r="T110" s="11">
        <f>IF(OR(R110="",S110=""),"",R110+S110)</f>
        <v/>
      </c>
      <c r="U110" s="11">
        <f>IF(OR(L110="",M110="",P110="",Q110=""),"",IF(UPPER(L110)="SHORT",(P110-Q110)*M110,(Q110-P110)*M110))</f>
        <v/>
      </c>
      <c r="V110" s="10" t="n"/>
      <c r="W110" s="10" t="n"/>
      <c r="X110" s="10" t="n"/>
      <c r="Y110" s="10" t="n"/>
      <c r="Z110" s="10" t="n"/>
      <c r="AA110" s="10" t="n"/>
      <c r="AB110" s="11">
        <f>IF(COUNTA(V110:AA110)=0,"",SUM(V110:AA110))</f>
        <v/>
      </c>
      <c r="AC110" s="11">
        <f>IF(U110="","",U110-IF(AB110="",0,AB110))</f>
        <v/>
      </c>
      <c r="AD110" s="12">
        <f>IF(AC110="","",IF(AC110&gt;0,"PROFIT",IF(AC110&lt;0,"LOSS","BREAKEVEN")))</f>
        <v/>
      </c>
      <c r="AE110" s="6" t="n"/>
      <c r="AF110" s="6" t="n"/>
      <c r="AG110" s="6" t="n"/>
      <c r="AH110" s="5" t="n"/>
    </row>
    <row r="111" ht="20" customHeight="1">
      <c r="A111" s="5" t="n"/>
      <c r="B111" s="6" t="n"/>
      <c r="C111" s="6" t="n"/>
      <c r="D111" s="7" t="n"/>
      <c r="E111" s="5" t="n"/>
      <c r="F111" s="6" t="n"/>
      <c r="G111" s="6" t="n"/>
      <c r="H111" s="6" t="n"/>
      <c r="I111" s="6" t="n"/>
      <c r="J111" s="5" t="n"/>
      <c r="K111" s="7" t="n"/>
      <c r="L111" s="6" t="n"/>
      <c r="M111" s="8" t="n"/>
      <c r="N111" s="8" t="n"/>
      <c r="O111" s="9">
        <f>IF(OR(M111="",N111="",N111=0),"",M111/N111)</f>
        <v/>
      </c>
      <c r="P111" s="10" t="n"/>
      <c r="Q111" s="10" t="n"/>
      <c r="R111" s="11">
        <f>IF(OR(M111="",P111=""),"",M111*P111)</f>
        <v/>
      </c>
      <c r="S111" s="11">
        <f>IF(OR(M111="",Q111=""),"",M111*Q111)</f>
        <v/>
      </c>
      <c r="T111" s="11">
        <f>IF(OR(R111="",S111=""),"",R111+S111)</f>
        <v/>
      </c>
      <c r="U111" s="11">
        <f>IF(OR(L111="",M111="",P111="",Q111=""),"",IF(UPPER(L111)="SHORT",(P111-Q111)*M111,(Q111-P111)*M111))</f>
        <v/>
      </c>
      <c r="V111" s="10" t="n"/>
      <c r="W111" s="10" t="n"/>
      <c r="X111" s="10" t="n"/>
      <c r="Y111" s="10" t="n"/>
      <c r="Z111" s="10" t="n"/>
      <c r="AA111" s="10" t="n"/>
      <c r="AB111" s="11">
        <f>IF(COUNTA(V111:AA111)=0,"",SUM(V111:AA111))</f>
        <v/>
      </c>
      <c r="AC111" s="11">
        <f>IF(U111="","",U111-IF(AB111="",0,AB111))</f>
        <v/>
      </c>
      <c r="AD111" s="12">
        <f>IF(AC111="","",IF(AC111&gt;0,"PROFIT",IF(AC111&lt;0,"LOSS","BREAKEVEN")))</f>
        <v/>
      </c>
      <c r="AE111" s="6" t="n"/>
      <c r="AF111" s="6" t="n"/>
      <c r="AG111" s="6" t="n"/>
      <c r="AH111" s="5" t="n"/>
    </row>
    <row r="112" ht="20" customHeight="1">
      <c r="A112" s="5" t="n"/>
      <c r="B112" s="6" t="n"/>
      <c r="C112" s="6" t="n"/>
      <c r="D112" s="7" t="n"/>
      <c r="E112" s="5" t="n"/>
      <c r="F112" s="6" t="n"/>
      <c r="G112" s="6" t="n"/>
      <c r="H112" s="6" t="n"/>
      <c r="I112" s="6" t="n"/>
      <c r="J112" s="5" t="n"/>
      <c r="K112" s="7" t="n"/>
      <c r="L112" s="6" t="n"/>
      <c r="M112" s="8" t="n"/>
      <c r="N112" s="8" t="n"/>
      <c r="O112" s="9">
        <f>IF(OR(M112="",N112="",N112=0),"",M112/N112)</f>
        <v/>
      </c>
      <c r="P112" s="10" t="n"/>
      <c r="Q112" s="10" t="n"/>
      <c r="R112" s="11">
        <f>IF(OR(M112="",P112=""),"",M112*P112)</f>
        <v/>
      </c>
      <c r="S112" s="11">
        <f>IF(OR(M112="",Q112=""),"",M112*Q112)</f>
        <v/>
      </c>
      <c r="T112" s="11">
        <f>IF(OR(R112="",S112=""),"",R112+S112)</f>
        <v/>
      </c>
      <c r="U112" s="11">
        <f>IF(OR(L112="",M112="",P112="",Q112=""),"",IF(UPPER(L112)="SHORT",(P112-Q112)*M112,(Q112-P112)*M112))</f>
        <v/>
      </c>
      <c r="V112" s="10" t="n"/>
      <c r="W112" s="10" t="n"/>
      <c r="X112" s="10" t="n"/>
      <c r="Y112" s="10" t="n"/>
      <c r="Z112" s="10" t="n"/>
      <c r="AA112" s="10" t="n"/>
      <c r="AB112" s="11">
        <f>IF(COUNTA(V112:AA112)=0,"",SUM(V112:AA112))</f>
        <v/>
      </c>
      <c r="AC112" s="11">
        <f>IF(U112="","",U112-IF(AB112="",0,AB112))</f>
        <v/>
      </c>
      <c r="AD112" s="12">
        <f>IF(AC112="","",IF(AC112&gt;0,"PROFIT",IF(AC112&lt;0,"LOSS","BREAKEVEN")))</f>
        <v/>
      </c>
      <c r="AE112" s="6" t="n"/>
      <c r="AF112" s="6" t="n"/>
      <c r="AG112" s="6" t="n"/>
      <c r="AH112" s="5" t="n"/>
    </row>
    <row r="113" ht="20" customHeight="1">
      <c r="A113" s="5" t="n"/>
      <c r="B113" s="6" t="n"/>
      <c r="C113" s="6" t="n"/>
      <c r="D113" s="7" t="n"/>
      <c r="E113" s="5" t="n"/>
      <c r="F113" s="6" t="n"/>
      <c r="G113" s="6" t="n"/>
      <c r="H113" s="6" t="n"/>
      <c r="I113" s="6" t="n"/>
      <c r="J113" s="5" t="n"/>
      <c r="K113" s="7" t="n"/>
      <c r="L113" s="6" t="n"/>
      <c r="M113" s="8" t="n"/>
      <c r="N113" s="8" t="n"/>
      <c r="O113" s="9">
        <f>IF(OR(M113="",N113="",N113=0),"",M113/N113)</f>
        <v/>
      </c>
      <c r="P113" s="10" t="n"/>
      <c r="Q113" s="10" t="n"/>
      <c r="R113" s="11">
        <f>IF(OR(M113="",P113=""),"",M113*P113)</f>
        <v/>
      </c>
      <c r="S113" s="11">
        <f>IF(OR(M113="",Q113=""),"",M113*Q113)</f>
        <v/>
      </c>
      <c r="T113" s="11">
        <f>IF(OR(R113="",S113=""),"",R113+S113)</f>
        <v/>
      </c>
      <c r="U113" s="11">
        <f>IF(OR(L113="",M113="",P113="",Q113=""),"",IF(UPPER(L113)="SHORT",(P113-Q113)*M113,(Q113-P113)*M113))</f>
        <v/>
      </c>
      <c r="V113" s="10" t="n"/>
      <c r="W113" s="10" t="n"/>
      <c r="X113" s="10" t="n"/>
      <c r="Y113" s="10" t="n"/>
      <c r="Z113" s="10" t="n"/>
      <c r="AA113" s="10" t="n"/>
      <c r="AB113" s="11">
        <f>IF(COUNTA(V113:AA113)=0,"",SUM(V113:AA113))</f>
        <v/>
      </c>
      <c r="AC113" s="11">
        <f>IF(U113="","",U113-IF(AB113="",0,AB113))</f>
        <v/>
      </c>
      <c r="AD113" s="12">
        <f>IF(AC113="","",IF(AC113&gt;0,"PROFIT",IF(AC113&lt;0,"LOSS","BREAKEVEN")))</f>
        <v/>
      </c>
      <c r="AE113" s="6" t="n"/>
      <c r="AF113" s="6" t="n"/>
      <c r="AG113" s="6" t="n"/>
      <c r="AH113" s="5" t="n"/>
    </row>
    <row r="114" ht="20" customHeight="1">
      <c r="A114" s="5" t="n"/>
      <c r="B114" s="6" t="n"/>
      <c r="C114" s="6" t="n"/>
      <c r="D114" s="7" t="n"/>
      <c r="E114" s="5" t="n"/>
      <c r="F114" s="6" t="n"/>
      <c r="G114" s="6" t="n"/>
      <c r="H114" s="6" t="n"/>
      <c r="I114" s="6" t="n"/>
      <c r="J114" s="5" t="n"/>
      <c r="K114" s="7" t="n"/>
      <c r="L114" s="6" t="n"/>
      <c r="M114" s="8" t="n"/>
      <c r="N114" s="8" t="n"/>
      <c r="O114" s="9">
        <f>IF(OR(M114="",N114="",N114=0),"",M114/N114)</f>
        <v/>
      </c>
      <c r="P114" s="10" t="n"/>
      <c r="Q114" s="10" t="n"/>
      <c r="R114" s="11">
        <f>IF(OR(M114="",P114=""),"",M114*P114)</f>
        <v/>
      </c>
      <c r="S114" s="11">
        <f>IF(OR(M114="",Q114=""),"",M114*Q114)</f>
        <v/>
      </c>
      <c r="T114" s="11">
        <f>IF(OR(R114="",S114=""),"",R114+S114)</f>
        <v/>
      </c>
      <c r="U114" s="11">
        <f>IF(OR(L114="",M114="",P114="",Q114=""),"",IF(UPPER(L114)="SHORT",(P114-Q114)*M114,(Q114-P114)*M114))</f>
        <v/>
      </c>
      <c r="V114" s="10" t="n"/>
      <c r="W114" s="10" t="n"/>
      <c r="X114" s="10" t="n"/>
      <c r="Y114" s="10" t="n"/>
      <c r="Z114" s="10" t="n"/>
      <c r="AA114" s="10" t="n"/>
      <c r="AB114" s="11">
        <f>IF(COUNTA(V114:AA114)=0,"",SUM(V114:AA114))</f>
        <v/>
      </c>
      <c r="AC114" s="11">
        <f>IF(U114="","",U114-IF(AB114="",0,AB114))</f>
        <v/>
      </c>
      <c r="AD114" s="12">
        <f>IF(AC114="","",IF(AC114&gt;0,"PROFIT",IF(AC114&lt;0,"LOSS","BREAKEVEN")))</f>
        <v/>
      </c>
      <c r="AE114" s="6" t="n"/>
      <c r="AF114" s="6" t="n"/>
      <c r="AG114" s="6" t="n"/>
      <c r="AH114" s="5" t="n"/>
    </row>
    <row r="115" ht="20" customHeight="1">
      <c r="A115" s="5" t="n"/>
      <c r="B115" s="6" t="n"/>
      <c r="C115" s="6" t="n"/>
      <c r="D115" s="7" t="n"/>
      <c r="E115" s="5" t="n"/>
      <c r="F115" s="6" t="n"/>
      <c r="G115" s="6" t="n"/>
      <c r="H115" s="6" t="n"/>
      <c r="I115" s="6" t="n"/>
      <c r="J115" s="5" t="n"/>
      <c r="K115" s="7" t="n"/>
      <c r="L115" s="6" t="n"/>
      <c r="M115" s="8" t="n"/>
      <c r="N115" s="8" t="n"/>
      <c r="O115" s="9">
        <f>IF(OR(M115="",N115="",N115=0),"",M115/N115)</f>
        <v/>
      </c>
      <c r="P115" s="10" t="n"/>
      <c r="Q115" s="10" t="n"/>
      <c r="R115" s="11">
        <f>IF(OR(M115="",P115=""),"",M115*P115)</f>
        <v/>
      </c>
      <c r="S115" s="11">
        <f>IF(OR(M115="",Q115=""),"",M115*Q115)</f>
        <v/>
      </c>
      <c r="T115" s="11">
        <f>IF(OR(R115="",S115=""),"",R115+S115)</f>
        <v/>
      </c>
      <c r="U115" s="11">
        <f>IF(OR(L115="",M115="",P115="",Q115=""),"",IF(UPPER(L115)="SHORT",(P115-Q115)*M115,(Q115-P115)*M115))</f>
        <v/>
      </c>
      <c r="V115" s="10" t="n"/>
      <c r="W115" s="10" t="n"/>
      <c r="X115" s="10" t="n"/>
      <c r="Y115" s="10" t="n"/>
      <c r="Z115" s="10" t="n"/>
      <c r="AA115" s="10" t="n"/>
      <c r="AB115" s="11">
        <f>IF(COUNTA(V115:AA115)=0,"",SUM(V115:AA115))</f>
        <v/>
      </c>
      <c r="AC115" s="11">
        <f>IF(U115="","",U115-IF(AB115="",0,AB115))</f>
        <v/>
      </c>
      <c r="AD115" s="12">
        <f>IF(AC115="","",IF(AC115&gt;0,"PROFIT",IF(AC115&lt;0,"LOSS","BREAKEVEN")))</f>
        <v/>
      </c>
      <c r="AE115" s="6" t="n"/>
      <c r="AF115" s="6" t="n"/>
      <c r="AG115" s="6" t="n"/>
      <c r="AH115" s="5" t="n"/>
    </row>
    <row r="116" ht="20" customHeight="1">
      <c r="A116" s="5" t="n"/>
      <c r="B116" s="6" t="n"/>
      <c r="C116" s="6" t="n"/>
      <c r="D116" s="7" t="n"/>
      <c r="E116" s="5" t="n"/>
      <c r="F116" s="6" t="n"/>
      <c r="G116" s="6" t="n"/>
      <c r="H116" s="6" t="n"/>
      <c r="I116" s="6" t="n"/>
      <c r="J116" s="5" t="n"/>
      <c r="K116" s="7" t="n"/>
      <c r="L116" s="6" t="n"/>
      <c r="M116" s="8" t="n"/>
      <c r="N116" s="8" t="n"/>
      <c r="O116" s="9">
        <f>IF(OR(M116="",N116="",N116=0),"",M116/N116)</f>
        <v/>
      </c>
      <c r="P116" s="10" t="n"/>
      <c r="Q116" s="10" t="n"/>
      <c r="R116" s="11">
        <f>IF(OR(M116="",P116=""),"",M116*P116)</f>
        <v/>
      </c>
      <c r="S116" s="11">
        <f>IF(OR(M116="",Q116=""),"",M116*Q116)</f>
        <v/>
      </c>
      <c r="T116" s="11">
        <f>IF(OR(R116="",S116=""),"",R116+S116)</f>
        <v/>
      </c>
      <c r="U116" s="11">
        <f>IF(OR(L116="",M116="",P116="",Q116=""),"",IF(UPPER(L116)="SHORT",(P116-Q116)*M116,(Q116-P116)*M116))</f>
        <v/>
      </c>
      <c r="V116" s="10" t="n"/>
      <c r="W116" s="10" t="n"/>
      <c r="X116" s="10" t="n"/>
      <c r="Y116" s="10" t="n"/>
      <c r="Z116" s="10" t="n"/>
      <c r="AA116" s="10" t="n"/>
      <c r="AB116" s="11">
        <f>IF(COUNTA(V116:AA116)=0,"",SUM(V116:AA116))</f>
        <v/>
      </c>
      <c r="AC116" s="11">
        <f>IF(U116="","",U116-IF(AB116="",0,AB116))</f>
        <v/>
      </c>
      <c r="AD116" s="12">
        <f>IF(AC116="","",IF(AC116&gt;0,"PROFIT",IF(AC116&lt;0,"LOSS","BREAKEVEN")))</f>
        <v/>
      </c>
      <c r="AE116" s="6" t="n"/>
      <c r="AF116" s="6" t="n"/>
      <c r="AG116" s="6" t="n"/>
      <c r="AH116" s="5" t="n"/>
    </row>
    <row r="117" ht="20" customHeight="1">
      <c r="A117" s="5" t="n"/>
      <c r="B117" s="6" t="n"/>
      <c r="C117" s="6" t="n"/>
      <c r="D117" s="7" t="n"/>
      <c r="E117" s="5" t="n"/>
      <c r="F117" s="6" t="n"/>
      <c r="G117" s="6" t="n"/>
      <c r="H117" s="6" t="n"/>
      <c r="I117" s="6" t="n"/>
      <c r="J117" s="5" t="n"/>
      <c r="K117" s="7" t="n"/>
      <c r="L117" s="6" t="n"/>
      <c r="M117" s="8" t="n"/>
      <c r="N117" s="8" t="n"/>
      <c r="O117" s="9">
        <f>IF(OR(M117="",N117="",N117=0),"",M117/N117)</f>
        <v/>
      </c>
      <c r="P117" s="10" t="n"/>
      <c r="Q117" s="10" t="n"/>
      <c r="R117" s="11">
        <f>IF(OR(M117="",P117=""),"",M117*P117)</f>
        <v/>
      </c>
      <c r="S117" s="11">
        <f>IF(OR(M117="",Q117=""),"",M117*Q117)</f>
        <v/>
      </c>
      <c r="T117" s="11">
        <f>IF(OR(R117="",S117=""),"",R117+S117)</f>
        <v/>
      </c>
      <c r="U117" s="11">
        <f>IF(OR(L117="",M117="",P117="",Q117=""),"",IF(UPPER(L117)="SHORT",(P117-Q117)*M117,(Q117-P117)*M117))</f>
        <v/>
      </c>
      <c r="V117" s="10" t="n"/>
      <c r="W117" s="10" t="n"/>
      <c r="X117" s="10" t="n"/>
      <c r="Y117" s="10" t="n"/>
      <c r="Z117" s="10" t="n"/>
      <c r="AA117" s="10" t="n"/>
      <c r="AB117" s="11">
        <f>IF(COUNTA(V117:AA117)=0,"",SUM(V117:AA117))</f>
        <v/>
      </c>
      <c r="AC117" s="11">
        <f>IF(U117="","",U117-IF(AB117="",0,AB117))</f>
        <v/>
      </c>
      <c r="AD117" s="12">
        <f>IF(AC117="","",IF(AC117&gt;0,"PROFIT",IF(AC117&lt;0,"LOSS","BREAKEVEN")))</f>
        <v/>
      </c>
      <c r="AE117" s="6" t="n"/>
      <c r="AF117" s="6" t="n"/>
      <c r="AG117" s="6" t="n"/>
      <c r="AH117" s="5" t="n"/>
    </row>
    <row r="118" ht="20" customHeight="1">
      <c r="A118" s="5" t="n"/>
      <c r="B118" s="6" t="n"/>
      <c r="C118" s="6" t="n"/>
      <c r="D118" s="7" t="n"/>
      <c r="E118" s="5" t="n"/>
      <c r="F118" s="6" t="n"/>
      <c r="G118" s="6" t="n"/>
      <c r="H118" s="6" t="n"/>
      <c r="I118" s="6" t="n"/>
      <c r="J118" s="5" t="n"/>
      <c r="K118" s="7" t="n"/>
      <c r="L118" s="6" t="n"/>
      <c r="M118" s="8" t="n"/>
      <c r="N118" s="8" t="n"/>
      <c r="O118" s="9">
        <f>IF(OR(M118="",N118="",N118=0),"",M118/N118)</f>
        <v/>
      </c>
      <c r="P118" s="10" t="n"/>
      <c r="Q118" s="10" t="n"/>
      <c r="R118" s="11">
        <f>IF(OR(M118="",P118=""),"",M118*P118)</f>
        <v/>
      </c>
      <c r="S118" s="11">
        <f>IF(OR(M118="",Q118=""),"",M118*Q118)</f>
        <v/>
      </c>
      <c r="T118" s="11">
        <f>IF(OR(R118="",S118=""),"",R118+S118)</f>
        <v/>
      </c>
      <c r="U118" s="11">
        <f>IF(OR(L118="",M118="",P118="",Q118=""),"",IF(UPPER(L118)="SHORT",(P118-Q118)*M118,(Q118-P118)*M118))</f>
        <v/>
      </c>
      <c r="V118" s="10" t="n"/>
      <c r="W118" s="10" t="n"/>
      <c r="X118" s="10" t="n"/>
      <c r="Y118" s="10" t="n"/>
      <c r="Z118" s="10" t="n"/>
      <c r="AA118" s="10" t="n"/>
      <c r="AB118" s="11">
        <f>IF(COUNTA(V118:AA118)=0,"",SUM(V118:AA118))</f>
        <v/>
      </c>
      <c r="AC118" s="11">
        <f>IF(U118="","",U118-IF(AB118="",0,AB118))</f>
        <v/>
      </c>
      <c r="AD118" s="12">
        <f>IF(AC118="","",IF(AC118&gt;0,"PROFIT",IF(AC118&lt;0,"LOSS","BREAKEVEN")))</f>
        <v/>
      </c>
      <c r="AE118" s="6" t="n"/>
      <c r="AF118" s="6" t="n"/>
      <c r="AG118" s="6" t="n"/>
      <c r="AH118" s="5" t="n"/>
    </row>
    <row r="119" ht="20" customHeight="1">
      <c r="A119" s="5" t="n"/>
      <c r="B119" s="6" t="n"/>
      <c r="C119" s="6" t="n"/>
      <c r="D119" s="7" t="n"/>
      <c r="E119" s="5" t="n"/>
      <c r="F119" s="6" t="n"/>
      <c r="G119" s="6" t="n"/>
      <c r="H119" s="6" t="n"/>
      <c r="I119" s="6" t="n"/>
      <c r="J119" s="5" t="n"/>
      <c r="K119" s="7" t="n"/>
      <c r="L119" s="6" t="n"/>
      <c r="M119" s="8" t="n"/>
      <c r="N119" s="8" t="n"/>
      <c r="O119" s="9">
        <f>IF(OR(M119="",N119="",N119=0),"",M119/N119)</f>
        <v/>
      </c>
      <c r="P119" s="10" t="n"/>
      <c r="Q119" s="10" t="n"/>
      <c r="R119" s="11">
        <f>IF(OR(M119="",P119=""),"",M119*P119)</f>
        <v/>
      </c>
      <c r="S119" s="11">
        <f>IF(OR(M119="",Q119=""),"",M119*Q119)</f>
        <v/>
      </c>
      <c r="T119" s="11">
        <f>IF(OR(R119="",S119=""),"",R119+S119)</f>
        <v/>
      </c>
      <c r="U119" s="11">
        <f>IF(OR(L119="",M119="",P119="",Q119=""),"",IF(UPPER(L119)="SHORT",(P119-Q119)*M119,(Q119-P119)*M119))</f>
        <v/>
      </c>
      <c r="V119" s="10" t="n"/>
      <c r="W119" s="10" t="n"/>
      <c r="X119" s="10" t="n"/>
      <c r="Y119" s="10" t="n"/>
      <c r="Z119" s="10" t="n"/>
      <c r="AA119" s="10" t="n"/>
      <c r="AB119" s="11">
        <f>IF(COUNTA(V119:AA119)=0,"",SUM(V119:AA119))</f>
        <v/>
      </c>
      <c r="AC119" s="11">
        <f>IF(U119="","",U119-IF(AB119="",0,AB119))</f>
        <v/>
      </c>
      <c r="AD119" s="12">
        <f>IF(AC119="","",IF(AC119&gt;0,"PROFIT",IF(AC119&lt;0,"LOSS","BREAKEVEN")))</f>
        <v/>
      </c>
      <c r="AE119" s="6" t="n"/>
      <c r="AF119" s="6" t="n"/>
      <c r="AG119" s="6" t="n"/>
      <c r="AH119" s="5" t="n"/>
    </row>
    <row r="120" ht="20" customHeight="1">
      <c r="A120" s="5" t="n"/>
      <c r="B120" s="6" t="n"/>
      <c r="C120" s="6" t="n"/>
      <c r="D120" s="7" t="n"/>
      <c r="E120" s="5" t="n"/>
      <c r="F120" s="6" t="n"/>
      <c r="G120" s="6" t="n"/>
      <c r="H120" s="6" t="n"/>
      <c r="I120" s="6" t="n"/>
      <c r="J120" s="5" t="n"/>
      <c r="K120" s="7" t="n"/>
      <c r="L120" s="6" t="n"/>
      <c r="M120" s="8" t="n"/>
      <c r="N120" s="8" t="n"/>
      <c r="O120" s="9">
        <f>IF(OR(M120="",N120="",N120=0),"",M120/N120)</f>
        <v/>
      </c>
      <c r="P120" s="10" t="n"/>
      <c r="Q120" s="10" t="n"/>
      <c r="R120" s="11">
        <f>IF(OR(M120="",P120=""),"",M120*P120)</f>
        <v/>
      </c>
      <c r="S120" s="11">
        <f>IF(OR(M120="",Q120=""),"",M120*Q120)</f>
        <v/>
      </c>
      <c r="T120" s="11">
        <f>IF(OR(R120="",S120=""),"",R120+S120)</f>
        <v/>
      </c>
      <c r="U120" s="11">
        <f>IF(OR(L120="",M120="",P120="",Q120=""),"",IF(UPPER(L120)="SHORT",(P120-Q120)*M120,(Q120-P120)*M120))</f>
        <v/>
      </c>
      <c r="V120" s="10" t="n"/>
      <c r="W120" s="10" t="n"/>
      <c r="X120" s="10" t="n"/>
      <c r="Y120" s="10" t="n"/>
      <c r="Z120" s="10" t="n"/>
      <c r="AA120" s="10" t="n"/>
      <c r="AB120" s="11">
        <f>IF(COUNTA(V120:AA120)=0,"",SUM(V120:AA120))</f>
        <v/>
      </c>
      <c r="AC120" s="11">
        <f>IF(U120="","",U120-IF(AB120="",0,AB120))</f>
        <v/>
      </c>
      <c r="AD120" s="12">
        <f>IF(AC120="","",IF(AC120&gt;0,"PROFIT",IF(AC120&lt;0,"LOSS","BREAKEVEN")))</f>
        <v/>
      </c>
      <c r="AE120" s="6" t="n"/>
      <c r="AF120" s="6" t="n"/>
      <c r="AG120" s="6" t="n"/>
      <c r="AH120" s="5" t="n"/>
    </row>
    <row r="121" ht="20" customHeight="1">
      <c r="A121" s="5" t="n"/>
      <c r="B121" s="6" t="n"/>
      <c r="C121" s="6" t="n"/>
      <c r="D121" s="7" t="n"/>
      <c r="E121" s="5" t="n"/>
      <c r="F121" s="6" t="n"/>
      <c r="G121" s="6" t="n"/>
      <c r="H121" s="6" t="n"/>
      <c r="I121" s="6" t="n"/>
      <c r="J121" s="5" t="n"/>
      <c r="K121" s="7" t="n"/>
      <c r="L121" s="6" t="n"/>
      <c r="M121" s="8" t="n"/>
      <c r="N121" s="8" t="n"/>
      <c r="O121" s="9">
        <f>IF(OR(M121="",N121="",N121=0),"",M121/N121)</f>
        <v/>
      </c>
      <c r="P121" s="10" t="n"/>
      <c r="Q121" s="10" t="n"/>
      <c r="R121" s="11">
        <f>IF(OR(M121="",P121=""),"",M121*P121)</f>
        <v/>
      </c>
      <c r="S121" s="11">
        <f>IF(OR(M121="",Q121=""),"",M121*Q121)</f>
        <v/>
      </c>
      <c r="T121" s="11">
        <f>IF(OR(R121="",S121=""),"",R121+S121)</f>
        <v/>
      </c>
      <c r="U121" s="11">
        <f>IF(OR(L121="",M121="",P121="",Q121=""),"",IF(UPPER(L121)="SHORT",(P121-Q121)*M121,(Q121-P121)*M121))</f>
        <v/>
      </c>
      <c r="V121" s="10" t="n"/>
      <c r="W121" s="10" t="n"/>
      <c r="X121" s="10" t="n"/>
      <c r="Y121" s="10" t="n"/>
      <c r="Z121" s="10" t="n"/>
      <c r="AA121" s="10" t="n"/>
      <c r="AB121" s="11">
        <f>IF(COUNTA(V121:AA121)=0,"",SUM(V121:AA121))</f>
        <v/>
      </c>
      <c r="AC121" s="11">
        <f>IF(U121="","",U121-IF(AB121="",0,AB121))</f>
        <v/>
      </c>
      <c r="AD121" s="12">
        <f>IF(AC121="","",IF(AC121&gt;0,"PROFIT",IF(AC121&lt;0,"LOSS","BREAKEVEN")))</f>
        <v/>
      </c>
      <c r="AE121" s="6" t="n"/>
      <c r="AF121" s="6" t="n"/>
      <c r="AG121" s="6" t="n"/>
      <c r="AH121" s="5" t="n"/>
    </row>
    <row r="122" ht="20" customHeight="1">
      <c r="A122" s="5" t="n"/>
      <c r="B122" s="6" t="n"/>
      <c r="C122" s="6" t="n"/>
      <c r="D122" s="7" t="n"/>
      <c r="E122" s="5" t="n"/>
      <c r="F122" s="6" t="n"/>
      <c r="G122" s="6" t="n"/>
      <c r="H122" s="6" t="n"/>
      <c r="I122" s="6" t="n"/>
      <c r="J122" s="5" t="n"/>
      <c r="K122" s="7" t="n"/>
      <c r="L122" s="6" t="n"/>
      <c r="M122" s="8" t="n"/>
      <c r="N122" s="8" t="n"/>
      <c r="O122" s="9">
        <f>IF(OR(M122="",N122="",N122=0),"",M122/N122)</f>
        <v/>
      </c>
      <c r="P122" s="10" t="n"/>
      <c r="Q122" s="10" t="n"/>
      <c r="R122" s="11">
        <f>IF(OR(M122="",P122=""),"",M122*P122)</f>
        <v/>
      </c>
      <c r="S122" s="11">
        <f>IF(OR(M122="",Q122=""),"",M122*Q122)</f>
        <v/>
      </c>
      <c r="T122" s="11">
        <f>IF(OR(R122="",S122=""),"",R122+S122)</f>
        <v/>
      </c>
      <c r="U122" s="11">
        <f>IF(OR(L122="",M122="",P122="",Q122=""),"",IF(UPPER(L122)="SHORT",(P122-Q122)*M122,(Q122-P122)*M122))</f>
        <v/>
      </c>
      <c r="V122" s="10" t="n"/>
      <c r="W122" s="10" t="n"/>
      <c r="X122" s="10" t="n"/>
      <c r="Y122" s="10" t="n"/>
      <c r="Z122" s="10" t="n"/>
      <c r="AA122" s="10" t="n"/>
      <c r="AB122" s="11">
        <f>IF(COUNTA(V122:AA122)=0,"",SUM(V122:AA122))</f>
        <v/>
      </c>
      <c r="AC122" s="11">
        <f>IF(U122="","",U122-IF(AB122="",0,AB122))</f>
        <v/>
      </c>
      <c r="AD122" s="12">
        <f>IF(AC122="","",IF(AC122&gt;0,"PROFIT",IF(AC122&lt;0,"LOSS","BREAKEVEN")))</f>
        <v/>
      </c>
      <c r="AE122" s="6" t="n"/>
      <c r="AF122" s="6" t="n"/>
      <c r="AG122" s="6" t="n"/>
      <c r="AH122" s="5" t="n"/>
    </row>
    <row r="123" ht="20" customHeight="1">
      <c r="A123" s="5" t="n"/>
      <c r="B123" s="6" t="n"/>
      <c r="C123" s="6" t="n"/>
      <c r="D123" s="7" t="n"/>
      <c r="E123" s="5" t="n"/>
      <c r="F123" s="6" t="n"/>
      <c r="G123" s="6" t="n"/>
      <c r="H123" s="6" t="n"/>
      <c r="I123" s="6" t="n"/>
      <c r="J123" s="5" t="n"/>
      <c r="K123" s="7" t="n"/>
      <c r="L123" s="6" t="n"/>
      <c r="M123" s="8" t="n"/>
      <c r="N123" s="8" t="n"/>
      <c r="O123" s="9">
        <f>IF(OR(M123="",N123="",N123=0),"",M123/N123)</f>
        <v/>
      </c>
      <c r="P123" s="10" t="n"/>
      <c r="Q123" s="10" t="n"/>
      <c r="R123" s="11">
        <f>IF(OR(M123="",P123=""),"",M123*P123)</f>
        <v/>
      </c>
      <c r="S123" s="11">
        <f>IF(OR(M123="",Q123=""),"",M123*Q123)</f>
        <v/>
      </c>
      <c r="T123" s="11">
        <f>IF(OR(R123="",S123=""),"",R123+S123)</f>
        <v/>
      </c>
      <c r="U123" s="11">
        <f>IF(OR(L123="",M123="",P123="",Q123=""),"",IF(UPPER(L123)="SHORT",(P123-Q123)*M123,(Q123-P123)*M123))</f>
        <v/>
      </c>
      <c r="V123" s="10" t="n"/>
      <c r="W123" s="10" t="n"/>
      <c r="X123" s="10" t="n"/>
      <c r="Y123" s="10" t="n"/>
      <c r="Z123" s="10" t="n"/>
      <c r="AA123" s="10" t="n"/>
      <c r="AB123" s="11">
        <f>IF(COUNTA(V123:AA123)=0,"",SUM(V123:AA123))</f>
        <v/>
      </c>
      <c r="AC123" s="11">
        <f>IF(U123="","",U123-IF(AB123="",0,AB123))</f>
        <v/>
      </c>
      <c r="AD123" s="12">
        <f>IF(AC123="","",IF(AC123&gt;0,"PROFIT",IF(AC123&lt;0,"LOSS","BREAKEVEN")))</f>
        <v/>
      </c>
      <c r="AE123" s="6" t="n"/>
      <c r="AF123" s="6" t="n"/>
      <c r="AG123" s="6" t="n"/>
      <c r="AH123" s="5" t="n"/>
    </row>
    <row r="124" ht="20" customHeight="1">
      <c r="A124" s="5" t="n"/>
      <c r="B124" s="6" t="n"/>
      <c r="C124" s="6" t="n"/>
      <c r="D124" s="7" t="n"/>
      <c r="E124" s="5" t="n"/>
      <c r="F124" s="6" t="n"/>
      <c r="G124" s="6" t="n"/>
      <c r="H124" s="6" t="n"/>
      <c r="I124" s="6" t="n"/>
      <c r="J124" s="5" t="n"/>
      <c r="K124" s="7" t="n"/>
      <c r="L124" s="6" t="n"/>
      <c r="M124" s="8" t="n"/>
      <c r="N124" s="8" t="n"/>
      <c r="O124" s="9">
        <f>IF(OR(M124="",N124="",N124=0),"",M124/N124)</f>
        <v/>
      </c>
      <c r="P124" s="10" t="n"/>
      <c r="Q124" s="10" t="n"/>
      <c r="R124" s="11">
        <f>IF(OR(M124="",P124=""),"",M124*P124)</f>
        <v/>
      </c>
      <c r="S124" s="11">
        <f>IF(OR(M124="",Q124=""),"",M124*Q124)</f>
        <v/>
      </c>
      <c r="T124" s="11">
        <f>IF(OR(R124="",S124=""),"",R124+S124)</f>
        <v/>
      </c>
      <c r="U124" s="11">
        <f>IF(OR(L124="",M124="",P124="",Q124=""),"",IF(UPPER(L124)="SHORT",(P124-Q124)*M124,(Q124-P124)*M124))</f>
        <v/>
      </c>
      <c r="V124" s="10" t="n"/>
      <c r="W124" s="10" t="n"/>
      <c r="X124" s="10" t="n"/>
      <c r="Y124" s="10" t="n"/>
      <c r="Z124" s="10" t="n"/>
      <c r="AA124" s="10" t="n"/>
      <c r="AB124" s="11">
        <f>IF(COUNTA(V124:AA124)=0,"",SUM(V124:AA124))</f>
        <v/>
      </c>
      <c r="AC124" s="11">
        <f>IF(U124="","",U124-IF(AB124="",0,AB124))</f>
        <v/>
      </c>
      <c r="AD124" s="12">
        <f>IF(AC124="","",IF(AC124&gt;0,"PROFIT",IF(AC124&lt;0,"LOSS","BREAKEVEN")))</f>
        <v/>
      </c>
      <c r="AE124" s="6" t="n"/>
      <c r="AF124" s="6" t="n"/>
      <c r="AG124" s="6" t="n"/>
      <c r="AH124" s="5" t="n"/>
    </row>
    <row r="125" ht="20" customHeight="1">
      <c r="A125" s="5" t="n"/>
      <c r="B125" s="6" t="n"/>
      <c r="C125" s="6" t="n"/>
      <c r="D125" s="7" t="n"/>
      <c r="E125" s="5" t="n"/>
      <c r="F125" s="6" t="n"/>
      <c r="G125" s="6" t="n"/>
      <c r="H125" s="6" t="n"/>
      <c r="I125" s="6" t="n"/>
      <c r="J125" s="5" t="n"/>
      <c r="K125" s="7" t="n"/>
      <c r="L125" s="6" t="n"/>
      <c r="M125" s="8" t="n"/>
      <c r="N125" s="8" t="n"/>
      <c r="O125" s="9">
        <f>IF(OR(M125="",N125="",N125=0),"",M125/N125)</f>
        <v/>
      </c>
      <c r="P125" s="10" t="n"/>
      <c r="Q125" s="10" t="n"/>
      <c r="R125" s="11">
        <f>IF(OR(M125="",P125=""),"",M125*P125)</f>
        <v/>
      </c>
      <c r="S125" s="11">
        <f>IF(OR(M125="",Q125=""),"",M125*Q125)</f>
        <v/>
      </c>
      <c r="T125" s="11">
        <f>IF(OR(R125="",S125=""),"",R125+S125)</f>
        <v/>
      </c>
      <c r="U125" s="11">
        <f>IF(OR(L125="",M125="",P125="",Q125=""),"",IF(UPPER(L125)="SHORT",(P125-Q125)*M125,(Q125-P125)*M125))</f>
        <v/>
      </c>
      <c r="V125" s="10" t="n"/>
      <c r="W125" s="10" t="n"/>
      <c r="X125" s="10" t="n"/>
      <c r="Y125" s="10" t="n"/>
      <c r="Z125" s="10" t="n"/>
      <c r="AA125" s="10" t="n"/>
      <c r="AB125" s="11">
        <f>IF(COUNTA(V125:AA125)=0,"",SUM(V125:AA125))</f>
        <v/>
      </c>
      <c r="AC125" s="11">
        <f>IF(U125="","",U125-IF(AB125="",0,AB125))</f>
        <v/>
      </c>
      <c r="AD125" s="12">
        <f>IF(AC125="","",IF(AC125&gt;0,"PROFIT",IF(AC125&lt;0,"LOSS","BREAKEVEN")))</f>
        <v/>
      </c>
      <c r="AE125" s="6" t="n"/>
      <c r="AF125" s="6" t="n"/>
      <c r="AG125" s="6" t="n"/>
      <c r="AH125" s="5" t="n"/>
    </row>
    <row r="126" ht="20" customHeight="1">
      <c r="A126" s="5" t="n"/>
      <c r="B126" s="6" t="n"/>
      <c r="C126" s="6" t="n"/>
      <c r="D126" s="7" t="n"/>
      <c r="E126" s="5" t="n"/>
      <c r="F126" s="6" t="n"/>
      <c r="G126" s="6" t="n"/>
      <c r="H126" s="6" t="n"/>
      <c r="I126" s="6" t="n"/>
      <c r="J126" s="5" t="n"/>
      <c r="K126" s="7" t="n"/>
      <c r="L126" s="6" t="n"/>
      <c r="M126" s="8" t="n"/>
      <c r="N126" s="8" t="n"/>
      <c r="O126" s="9">
        <f>IF(OR(M126="",N126="",N126=0),"",M126/N126)</f>
        <v/>
      </c>
      <c r="P126" s="10" t="n"/>
      <c r="Q126" s="10" t="n"/>
      <c r="R126" s="11">
        <f>IF(OR(M126="",P126=""),"",M126*P126)</f>
        <v/>
      </c>
      <c r="S126" s="11">
        <f>IF(OR(M126="",Q126=""),"",M126*Q126)</f>
        <v/>
      </c>
      <c r="T126" s="11">
        <f>IF(OR(R126="",S126=""),"",R126+S126)</f>
        <v/>
      </c>
      <c r="U126" s="11">
        <f>IF(OR(L126="",M126="",P126="",Q126=""),"",IF(UPPER(L126)="SHORT",(P126-Q126)*M126,(Q126-P126)*M126))</f>
        <v/>
      </c>
      <c r="V126" s="10" t="n"/>
      <c r="W126" s="10" t="n"/>
      <c r="X126" s="10" t="n"/>
      <c r="Y126" s="10" t="n"/>
      <c r="Z126" s="10" t="n"/>
      <c r="AA126" s="10" t="n"/>
      <c r="AB126" s="11">
        <f>IF(COUNTA(V126:AA126)=0,"",SUM(V126:AA126))</f>
        <v/>
      </c>
      <c r="AC126" s="11">
        <f>IF(U126="","",U126-IF(AB126="",0,AB126))</f>
        <v/>
      </c>
      <c r="AD126" s="12">
        <f>IF(AC126="","",IF(AC126&gt;0,"PROFIT",IF(AC126&lt;0,"LOSS","BREAKEVEN")))</f>
        <v/>
      </c>
      <c r="AE126" s="6" t="n"/>
      <c r="AF126" s="6" t="n"/>
      <c r="AG126" s="6" t="n"/>
      <c r="AH126" s="5" t="n"/>
    </row>
    <row r="127" ht="20" customHeight="1">
      <c r="A127" s="5" t="n"/>
      <c r="B127" s="6" t="n"/>
      <c r="C127" s="6" t="n"/>
      <c r="D127" s="7" t="n"/>
      <c r="E127" s="5" t="n"/>
      <c r="F127" s="6" t="n"/>
      <c r="G127" s="6" t="n"/>
      <c r="H127" s="6" t="n"/>
      <c r="I127" s="6" t="n"/>
      <c r="J127" s="5" t="n"/>
      <c r="K127" s="7" t="n"/>
      <c r="L127" s="6" t="n"/>
      <c r="M127" s="8" t="n"/>
      <c r="N127" s="8" t="n"/>
      <c r="O127" s="9">
        <f>IF(OR(M127="",N127="",N127=0),"",M127/N127)</f>
        <v/>
      </c>
      <c r="P127" s="10" t="n"/>
      <c r="Q127" s="10" t="n"/>
      <c r="R127" s="11">
        <f>IF(OR(M127="",P127=""),"",M127*P127)</f>
        <v/>
      </c>
      <c r="S127" s="11">
        <f>IF(OR(M127="",Q127=""),"",M127*Q127)</f>
        <v/>
      </c>
      <c r="T127" s="11">
        <f>IF(OR(R127="",S127=""),"",R127+S127)</f>
        <v/>
      </c>
      <c r="U127" s="11">
        <f>IF(OR(L127="",M127="",P127="",Q127=""),"",IF(UPPER(L127)="SHORT",(P127-Q127)*M127,(Q127-P127)*M127))</f>
        <v/>
      </c>
      <c r="V127" s="10" t="n"/>
      <c r="W127" s="10" t="n"/>
      <c r="X127" s="10" t="n"/>
      <c r="Y127" s="10" t="n"/>
      <c r="Z127" s="10" t="n"/>
      <c r="AA127" s="10" t="n"/>
      <c r="AB127" s="11">
        <f>IF(COUNTA(V127:AA127)=0,"",SUM(V127:AA127))</f>
        <v/>
      </c>
      <c r="AC127" s="11">
        <f>IF(U127="","",U127-IF(AB127="",0,AB127))</f>
        <v/>
      </c>
      <c r="AD127" s="12">
        <f>IF(AC127="","",IF(AC127&gt;0,"PROFIT",IF(AC127&lt;0,"LOSS","BREAKEVEN")))</f>
        <v/>
      </c>
      <c r="AE127" s="6" t="n"/>
      <c r="AF127" s="6" t="n"/>
      <c r="AG127" s="6" t="n"/>
      <c r="AH127" s="5" t="n"/>
    </row>
    <row r="128" ht="20" customHeight="1">
      <c r="A128" s="5" t="n"/>
      <c r="B128" s="6" t="n"/>
      <c r="C128" s="6" t="n"/>
      <c r="D128" s="7" t="n"/>
      <c r="E128" s="5" t="n"/>
      <c r="F128" s="6" t="n"/>
      <c r="G128" s="6" t="n"/>
      <c r="H128" s="6" t="n"/>
      <c r="I128" s="6" t="n"/>
      <c r="J128" s="5" t="n"/>
      <c r="K128" s="7" t="n"/>
      <c r="L128" s="6" t="n"/>
      <c r="M128" s="8" t="n"/>
      <c r="N128" s="8" t="n"/>
      <c r="O128" s="9">
        <f>IF(OR(M128="",N128="",N128=0),"",M128/N128)</f>
        <v/>
      </c>
      <c r="P128" s="10" t="n"/>
      <c r="Q128" s="10" t="n"/>
      <c r="R128" s="11">
        <f>IF(OR(M128="",P128=""),"",M128*P128)</f>
        <v/>
      </c>
      <c r="S128" s="11">
        <f>IF(OR(M128="",Q128=""),"",M128*Q128)</f>
        <v/>
      </c>
      <c r="T128" s="11">
        <f>IF(OR(R128="",S128=""),"",R128+S128)</f>
        <v/>
      </c>
      <c r="U128" s="11">
        <f>IF(OR(L128="",M128="",P128="",Q128=""),"",IF(UPPER(L128)="SHORT",(P128-Q128)*M128,(Q128-P128)*M128))</f>
        <v/>
      </c>
      <c r="V128" s="10" t="n"/>
      <c r="W128" s="10" t="n"/>
      <c r="X128" s="10" t="n"/>
      <c r="Y128" s="10" t="n"/>
      <c r="Z128" s="10" t="n"/>
      <c r="AA128" s="10" t="n"/>
      <c r="AB128" s="11">
        <f>IF(COUNTA(V128:AA128)=0,"",SUM(V128:AA128))</f>
        <v/>
      </c>
      <c r="AC128" s="11">
        <f>IF(U128="","",U128-IF(AB128="",0,AB128))</f>
        <v/>
      </c>
      <c r="AD128" s="12">
        <f>IF(AC128="","",IF(AC128&gt;0,"PROFIT",IF(AC128&lt;0,"LOSS","BREAKEVEN")))</f>
        <v/>
      </c>
      <c r="AE128" s="6" t="n"/>
      <c r="AF128" s="6" t="n"/>
      <c r="AG128" s="6" t="n"/>
      <c r="AH128" s="5" t="n"/>
    </row>
    <row r="129" ht="20" customHeight="1">
      <c r="A129" s="5" t="n"/>
      <c r="B129" s="6" t="n"/>
      <c r="C129" s="6" t="n"/>
      <c r="D129" s="7" t="n"/>
      <c r="E129" s="5" t="n"/>
      <c r="F129" s="6" t="n"/>
      <c r="G129" s="6" t="n"/>
      <c r="H129" s="6" t="n"/>
      <c r="I129" s="6" t="n"/>
      <c r="J129" s="5" t="n"/>
      <c r="K129" s="7" t="n"/>
      <c r="L129" s="6" t="n"/>
      <c r="M129" s="8" t="n"/>
      <c r="N129" s="8" t="n"/>
      <c r="O129" s="9">
        <f>IF(OR(M129="",N129="",N129=0),"",M129/N129)</f>
        <v/>
      </c>
      <c r="P129" s="10" t="n"/>
      <c r="Q129" s="10" t="n"/>
      <c r="R129" s="11">
        <f>IF(OR(M129="",P129=""),"",M129*P129)</f>
        <v/>
      </c>
      <c r="S129" s="11">
        <f>IF(OR(M129="",Q129=""),"",M129*Q129)</f>
        <v/>
      </c>
      <c r="T129" s="11">
        <f>IF(OR(R129="",S129=""),"",R129+S129)</f>
        <v/>
      </c>
      <c r="U129" s="11">
        <f>IF(OR(L129="",M129="",P129="",Q129=""),"",IF(UPPER(L129)="SHORT",(P129-Q129)*M129,(Q129-P129)*M129))</f>
        <v/>
      </c>
      <c r="V129" s="10" t="n"/>
      <c r="W129" s="10" t="n"/>
      <c r="X129" s="10" t="n"/>
      <c r="Y129" s="10" t="n"/>
      <c r="Z129" s="10" t="n"/>
      <c r="AA129" s="10" t="n"/>
      <c r="AB129" s="11">
        <f>IF(COUNTA(V129:AA129)=0,"",SUM(V129:AA129))</f>
        <v/>
      </c>
      <c r="AC129" s="11">
        <f>IF(U129="","",U129-IF(AB129="",0,AB129))</f>
        <v/>
      </c>
      <c r="AD129" s="12">
        <f>IF(AC129="","",IF(AC129&gt;0,"PROFIT",IF(AC129&lt;0,"LOSS","BREAKEVEN")))</f>
        <v/>
      </c>
      <c r="AE129" s="6" t="n"/>
      <c r="AF129" s="6" t="n"/>
      <c r="AG129" s="6" t="n"/>
      <c r="AH129" s="5" t="n"/>
    </row>
    <row r="130" ht="20" customHeight="1">
      <c r="A130" s="5" t="n"/>
      <c r="B130" s="6" t="n"/>
      <c r="C130" s="6" t="n"/>
      <c r="D130" s="7" t="n"/>
      <c r="E130" s="5" t="n"/>
      <c r="F130" s="6" t="n"/>
      <c r="G130" s="6" t="n"/>
      <c r="H130" s="6" t="n"/>
      <c r="I130" s="6" t="n"/>
      <c r="J130" s="5" t="n"/>
      <c r="K130" s="7" t="n"/>
      <c r="L130" s="6" t="n"/>
      <c r="M130" s="8" t="n"/>
      <c r="N130" s="8" t="n"/>
      <c r="O130" s="9">
        <f>IF(OR(M130="",N130="",N130=0),"",M130/N130)</f>
        <v/>
      </c>
      <c r="P130" s="10" t="n"/>
      <c r="Q130" s="10" t="n"/>
      <c r="R130" s="11">
        <f>IF(OR(M130="",P130=""),"",M130*P130)</f>
        <v/>
      </c>
      <c r="S130" s="11">
        <f>IF(OR(M130="",Q130=""),"",M130*Q130)</f>
        <v/>
      </c>
      <c r="T130" s="11">
        <f>IF(OR(R130="",S130=""),"",R130+S130)</f>
        <v/>
      </c>
      <c r="U130" s="11">
        <f>IF(OR(L130="",M130="",P130="",Q130=""),"",IF(UPPER(L130)="SHORT",(P130-Q130)*M130,(Q130-P130)*M130))</f>
        <v/>
      </c>
      <c r="V130" s="10" t="n"/>
      <c r="W130" s="10" t="n"/>
      <c r="X130" s="10" t="n"/>
      <c r="Y130" s="10" t="n"/>
      <c r="Z130" s="10" t="n"/>
      <c r="AA130" s="10" t="n"/>
      <c r="AB130" s="11">
        <f>IF(COUNTA(V130:AA130)=0,"",SUM(V130:AA130))</f>
        <v/>
      </c>
      <c r="AC130" s="11">
        <f>IF(U130="","",U130-IF(AB130="",0,AB130))</f>
        <v/>
      </c>
      <c r="AD130" s="12">
        <f>IF(AC130="","",IF(AC130&gt;0,"PROFIT",IF(AC130&lt;0,"LOSS","BREAKEVEN")))</f>
        <v/>
      </c>
      <c r="AE130" s="6" t="n"/>
      <c r="AF130" s="6" t="n"/>
      <c r="AG130" s="6" t="n"/>
      <c r="AH130" s="5" t="n"/>
    </row>
    <row r="131" ht="20" customHeight="1">
      <c r="A131" s="5" t="n"/>
      <c r="B131" s="6" t="n"/>
      <c r="C131" s="6" t="n"/>
      <c r="D131" s="7" t="n"/>
      <c r="E131" s="5" t="n"/>
      <c r="F131" s="6" t="n"/>
      <c r="G131" s="6" t="n"/>
      <c r="H131" s="6" t="n"/>
      <c r="I131" s="6" t="n"/>
      <c r="J131" s="5" t="n"/>
      <c r="K131" s="7" t="n"/>
      <c r="L131" s="6" t="n"/>
      <c r="M131" s="8" t="n"/>
      <c r="N131" s="8" t="n"/>
      <c r="O131" s="9">
        <f>IF(OR(M131="",N131="",N131=0),"",M131/N131)</f>
        <v/>
      </c>
      <c r="P131" s="10" t="n"/>
      <c r="Q131" s="10" t="n"/>
      <c r="R131" s="11">
        <f>IF(OR(M131="",P131=""),"",M131*P131)</f>
        <v/>
      </c>
      <c r="S131" s="11">
        <f>IF(OR(M131="",Q131=""),"",M131*Q131)</f>
        <v/>
      </c>
      <c r="T131" s="11">
        <f>IF(OR(R131="",S131=""),"",R131+S131)</f>
        <v/>
      </c>
      <c r="U131" s="11">
        <f>IF(OR(L131="",M131="",P131="",Q131=""),"",IF(UPPER(L131)="SHORT",(P131-Q131)*M131,(Q131-P131)*M131))</f>
        <v/>
      </c>
      <c r="V131" s="10" t="n"/>
      <c r="W131" s="10" t="n"/>
      <c r="X131" s="10" t="n"/>
      <c r="Y131" s="10" t="n"/>
      <c r="Z131" s="10" t="n"/>
      <c r="AA131" s="10" t="n"/>
      <c r="AB131" s="11">
        <f>IF(COUNTA(V131:AA131)=0,"",SUM(V131:AA131))</f>
        <v/>
      </c>
      <c r="AC131" s="11">
        <f>IF(U131="","",U131-IF(AB131="",0,AB131))</f>
        <v/>
      </c>
      <c r="AD131" s="12">
        <f>IF(AC131="","",IF(AC131&gt;0,"PROFIT",IF(AC131&lt;0,"LOSS","BREAKEVEN")))</f>
        <v/>
      </c>
      <c r="AE131" s="6" t="n"/>
      <c r="AF131" s="6" t="n"/>
      <c r="AG131" s="6" t="n"/>
      <c r="AH131" s="5" t="n"/>
    </row>
    <row r="132" ht="20" customHeight="1">
      <c r="A132" s="5" t="n"/>
      <c r="B132" s="6" t="n"/>
      <c r="C132" s="6" t="n"/>
      <c r="D132" s="7" t="n"/>
      <c r="E132" s="5" t="n"/>
      <c r="F132" s="6" t="n"/>
      <c r="G132" s="6" t="n"/>
      <c r="H132" s="6" t="n"/>
      <c r="I132" s="6" t="n"/>
      <c r="J132" s="5" t="n"/>
      <c r="K132" s="7" t="n"/>
      <c r="L132" s="6" t="n"/>
      <c r="M132" s="8" t="n"/>
      <c r="N132" s="8" t="n"/>
      <c r="O132" s="9">
        <f>IF(OR(M132="",N132="",N132=0),"",M132/N132)</f>
        <v/>
      </c>
      <c r="P132" s="10" t="n"/>
      <c r="Q132" s="10" t="n"/>
      <c r="R132" s="11">
        <f>IF(OR(M132="",P132=""),"",M132*P132)</f>
        <v/>
      </c>
      <c r="S132" s="11">
        <f>IF(OR(M132="",Q132=""),"",M132*Q132)</f>
        <v/>
      </c>
      <c r="T132" s="11">
        <f>IF(OR(R132="",S132=""),"",R132+S132)</f>
        <v/>
      </c>
      <c r="U132" s="11">
        <f>IF(OR(L132="",M132="",P132="",Q132=""),"",IF(UPPER(L132)="SHORT",(P132-Q132)*M132,(Q132-P132)*M132))</f>
        <v/>
      </c>
      <c r="V132" s="10" t="n"/>
      <c r="W132" s="10" t="n"/>
      <c r="X132" s="10" t="n"/>
      <c r="Y132" s="10" t="n"/>
      <c r="Z132" s="10" t="n"/>
      <c r="AA132" s="10" t="n"/>
      <c r="AB132" s="11">
        <f>IF(COUNTA(V132:AA132)=0,"",SUM(V132:AA132))</f>
        <v/>
      </c>
      <c r="AC132" s="11">
        <f>IF(U132="","",U132-IF(AB132="",0,AB132))</f>
        <v/>
      </c>
      <c r="AD132" s="12">
        <f>IF(AC132="","",IF(AC132&gt;0,"PROFIT",IF(AC132&lt;0,"LOSS","BREAKEVEN")))</f>
        <v/>
      </c>
      <c r="AE132" s="6" t="n"/>
      <c r="AF132" s="6" t="n"/>
      <c r="AG132" s="6" t="n"/>
      <c r="AH132" s="5" t="n"/>
    </row>
    <row r="133" ht="20" customHeight="1">
      <c r="A133" s="5" t="n"/>
      <c r="B133" s="6" t="n"/>
      <c r="C133" s="6" t="n"/>
      <c r="D133" s="7" t="n"/>
      <c r="E133" s="5" t="n"/>
      <c r="F133" s="6" t="n"/>
      <c r="G133" s="6" t="n"/>
      <c r="H133" s="6" t="n"/>
      <c r="I133" s="6" t="n"/>
      <c r="J133" s="5" t="n"/>
      <c r="K133" s="7" t="n"/>
      <c r="L133" s="6" t="n"/>
      <c r="M133" s="8" t="n"/>
      <c r="N133" s="8" t="n"/>
      <c r="O133" s="9">
        <f>IF(OR(M133="",N133="",N133=0),"",M133/N133)</f>
        <v/>
      </c>
      <c r="P133" s="10" t="n"/>
      <c r="Q133" s="10" t="n"/>
      <c r="R133" s="11">
        <f>IF(OR(M133="",P133=""),"",M133*P133)</f>
        <v/>
      </c>
      <c r="S133" s="11">
        <f>IF(OR(M133="",Q133=""),"",M133*Q133)</f>
        <v/>
      </c>
      <c r="T133" s="11">
        <f>IF(OR(R133="",S133=""),"",R133+S133)</f>
        <v/>
      </c>
      <c r="U133" s="11">
        <f>IF(OR(L133="",M133="",P133="",Q133=""),"",IF(UPPER(L133)="SHORT",(P133-Q133)*M133,(Q133-P133)*M133))</f>
        <v/>
      </c>
      <c r="V133" s="10" t="n"/>
      <c r="W133" s="10" t="n"/>
      <c r="X133" s="10" t="n"/>
      <c r="Y133" s="10" t="n"/>
      <c r="Z133" s="10" t="n"/>
      <c r="AA133" s="10" t="n"/>
      <c r="AB133" s="11">
        <f>IF(COUNTA(V133:AA133)=0,"",SUM(V133:AA133))</f>
        <v/>
      </c>
      <c r="AC133" s="11">
        <f>IF(U133="","",U133-IF(AB133="",0,AB133))</f>
        <v/>
      </c>
      <c r="AD133" s="12">
        <f>IF(AC133="","",IF(AC133&gt;0,"PROFIT",IF(AC133&lt;0,"LOSS","BREAKEVEN")))</f>
        <v/>
      </c>
      <c r="AE133" s="6" t="n"/>
      <c r="AF133" s="6" t="n"/>
      <c r="AG133" s="6" t="n"/>
      <c r="AH133" s="5" t="n"/>
    </row>
    <row r="134" ht="20" customHeight="1">
      <c r="A134" s="5" t="n"/>
      <c r="B134" s="6" t="n"/>
      <c r="C134" s="6" t="n"/>
      <c r="D134" s="7" t="n"/>
      <c r="E134" s="5" t="n"/>
      <c r="F134" s="6" t="n"/>
      <c r="G134" s="6" t="n"/>
      <c r="H134" s="6" t="n"/>
      <c r="I134" s="6" t="n"/>
      <c r="J134" s="5" t="n"/>
      <c r="K134" s="7" t="n"/>
      <c r="L134" s="6" t="n"/>
      <c r="M134" s="8" t="n"/>
      <c r="N134" s="8" t="n"/>
      <c r="O134" s="9">
        <f>IF(OR(M134="",N134="",N134=0),"",M134/N134)</f>
        <v/>
      </c>
      <c r="P134" s="10" t="n"/>
      <c r="Q134" s="10" t="n"/>
      <c r="R134" s="11">
        <f>IF(OR(M134="",P134=""),"",M134*P134)</f>
        <v/>
      </c>
      <c r="S134" s="11">
        <f>IF(OR(M134="",Q134=""),"",M134*Q134)</f>
        <v/>
      </c>
      <c r="T134" s="11">
        <f>IF(OR(R134="",S134=""),"",R134+S134)</f>
        <v/>
      </c>
      <c r="U134" s="11">
        <f>IF(OR(L134="",M134="",P134="",Q134=""),"",IF(UPPER(L134)="SHORT",(P134-Q134)*M134,(Q134-P134)*M134))</f>
        <v/>
      </c>
      <c r="V134" s="10" t="n"/>
      <c r="W134" s="10" t="n"/>
      <c r="X134" s="10" t="n"/>
      <c r="Y134" s="10" t="n"/>
      <c r="Z134" s="10" t="n"/>
      <c r="AA134" s="10" t="n"/>
      <c r="AB134" s="11">
        <f>IF(COUNTA(V134:AA134)=0,"",SUM(V134:AA134))</f>
        <v/>
      </c>
      <c r="AC134" s="11">
        <f>IF(U134="","",U134-IF(AB134="",0,AB134))</f>
        <v/>
      </c>
      <c r="AD134" s="12">
        <f>IF(AC134="","",IF(AC134&gt;0,"PROFIT",IF(AC134&lt;0,"LOSS","BREAKEVEN")))</f>
        <v/>
      </c>
      <c r="AE134" s="6" t="n"/>
      <c r="AF134" s="6" t="n"/>
      <c r="AG134" s="6" t="n"/>
      <c r="AH134" s="5" t="n"/>
    </row>
    <row r="135" ht="20" customHeight="1">
      <c r="A135" s="5" t="n"/>
      <c r="B135" s="6" t="n"/>
      <c r="C135" s="6" t="n"/>
      <c r="D135" s="7" t="n"/>
      <c r="E135" s="5" t="n"/>
      <c r="F135" s="6" t="n"/>
      <c r="G135" s="6" t="n"/>
      <c r="H135" s="6" t="n"/>
      <c r="I135" s="6" t="n"/>
      <c r="J135" s="5" t="n"/>
      <c r="K135" s="7" t="n"/>
      <c r="L135" s="6" t="n"/>
      <c r="M135" s="8" t="n"/>
      <c r="N135" s="8" t="n"/>
      <c r="O135" s="9">
        <f>IF(OR(M135="",N135="",N135=0),"",M135/N135)</f>
        <v/>
      </c>
      <c r="P135" s="10" t="n"/>
      <c r="Q135" s="10" t="n"/>
      <c r="R135" s="11">
        <f>IF(OR(M135="",P135=""),"",M135*P135)</f>
        <v/>
      </c>
      <c r="S135" s="11">
        <f>IF(OR(M135="",Q135=""),"",M135*Q135)</f>
        <v/>
      </c>
      <c r="T135" s="11">
        <f>IF(OR(R135="",S135=""),"",R135+S135)</f>
        <v/>
      </c>
      <c r="U135" s="11">
        <f>IF(OR(L135="",M135="",P135="",Q135=""),"",IF(UPPER(L135)="SHORT",(P135-Q135)*M135,(Q135-P135)*M135))</f>
        <v/>
      </c>
      <c r="V135" s="10" t="n"/>
      <c r="W135" s="10" t="n"/>
      <c r="X135" s="10" t="n"/>
      <c r="Y135" s="10" t="n"/>
      <c r="Z135" s="10" t="n"/>
      <c r="AA135" s="10" t="n"/>
      <c r="AB135" s="11">
        <f>IF(COUNTA(V135:AA135)=0,"",SUM(V135:AA135))</f>
        <v/>
      </c>
      <c r="AC135" s="11">
        <f>IF(U135="","",U135-IF(AB135="",0,AB135))</f>
        <v/>
      </c>
      <c r="AD135" s="12">
        <f>IF(AC135="","",IF(AC135&gt;0,"PROFIT",IF(AC135&lt;0,"LOSS","BREAKEVEN")))</f>
        <v/>
      </c>
      <c r="AE135" s="6" t="n"/>
      <c r="AF135" s="6" t="n"/>
      <c r="AG135" s="6" t="n"/>
      <c r="AH135" s="5" t="n"/>
    </row>
    <row r="136" ht="20" customHeight="1">
      <c r="A136" s="5" t="n"/>
      <c r="B136" s="6" t="n"/>
      <c r="C136" s="6" t="n"/>
      <c r="D136" s="7" t="n"/>
      <c r="E136" s="5" t="n"/>
      <c r="F136" s="6" t="n"/>
      <c r="G136" s="6" t="n"/>
      <c r="H136" s="6" t="n"/>
      <c r="I136" s="6" t="n"/>
      <c r="J136" s="5" t="n"/>
      <c r="K136" s="7" t="n"/>
      <c r="L136" s="6" t="n"/>
      <c r="M136" s="8" t="n"/>
      <c r="N136" s="8" t="n"/>
      <c r="O136" s="9">
        <f>IF(OR(M136="",N136="",N136=0),"",M136/N136)</f>
        <v/>
      </c>
      <c r="P136" s="10" t="n"/>
      <c r="Q136" s="10" t="n"/>
      <c r="R136" s="11">
        <f>IF(OR(M136="",P136=""),"",M136*P136)</f>
        <v/>
      </c>
      <c r="S136" s="11">
        <f>IF(OR(M136="",Q136=""),"",M136*Q136)</f>
        <v/>
      </c>
      <c r="T136" s="11">
        <f>IF(OR(R136="",S136=""),"",R136+S136)</f>
        <v/>
      </c>
      <c r="U136" s="11">
        <f>IF(OR(L136="",M136="",P136="",Q136=""),"",IF(UPPER(L136)="SHORT",(P136-Q136)*M136,(Q136-P136)*M136))</f>
        <v/>
      </c>
      <c r="V136" s="10" t="n"/>
      <c r="W136" s="10" t="n"/>
      <c r="X136" s="10" t="n"/>
      <c r="Y136" s="10" t="n"/>
      <c r="Z136" s="10" t="n"/>
      <c r="AA136" s="10" t="n"/>
      <c r="AB136" s="11">
        <f>IF(COUNTA(V136:AA136)=0,"",SUM(V136:AA136))</f>
        <v/>
      </c>
      <c r="AC136" s="11">
        <f>IF(U136="","",U136-IF(AB136="",0,AB136))</f>
        <v/>
      </c>
      <c r="AD136" s="12">
        <f>IF(AC136="","",IF(AC136&gt;0,"PROFIT",IF(AC136&lt;0,"LOSS","BREAKEVEN")))</f>
        <v/>
      </c>
      <c r="AE136" s="6" t="n"/>
      <c r="AF136" s="6" t="n"/>
      <c r="AG136" s="6" t="n"/>
      <c r="AH136" s="5" t="n"/>
    </row>
    <row r="137" ht="20" customHeight="1">
      <c r="A137" s="5" t="n"/>
      <c r="B137" s="6" t="n"/>
      <c r="C137" s="6" t="n"/>
      <c r="D137" s="7" t="n"/>
      <c r="E137" s="5" t="n"/>
      <c r="F137" s="6" t="n"/>
      <c r="G137" s="6" t="n"/>
      <c r="H137" s="6" t="n"/>
      <c r="I137" s="6" t="n"/>
      <c r="J137" s="5" t="n"/>
      <c r="K137" s="7" t="n"/>
      <c r="L137" s="6" t="n"/>
      <c r="M137" s="8" t="n"/>
      <c r="N137" s="8" t="n"/>
      <c r="O137" s="9">
        <f>IF(OR(M137="",N137="",N137=0),"",M137/N137)</f>
        <v/>
      </c>
      <c r="P137" s="10" t="n"/>
      <c r="Q137" s="10" t="n"/>
      <c r="R137" s="11">
        <f>IF(OR(M137="",P137=""),"",M137*P137)</f>
        <v/>
      </c>
      <c r="S137" s="11">
        <f>IF(OR(M137="",Q137=""),"",M137*Q137)</f>
        <v/>
      </c>
      <c r="T137" s="11">
        <f>IF(OR(R137="",S137=""),"",R137+S137)</f>
        <v/>
      </c>
      <c r="U137" s="11">
        <f>IF(OR(L137="",M137="",P137="",Q137=""),"",IF(UPPER(L137)="SHORT",(P137-Q137)*M137,(Q137-P137)*M137))</f>
        <v/>
      </c>
      <c r="V137" s="10" t="n"/>
      <c r="W137" s="10" t="n"/>
      <c r="X137" s="10" t="n"/>
      <c r="Y137" s="10" t="n"/>
      <c r="Z137" s="10" t="n"/>
      <c r="AA137" s="10" t="n"/>
      <c r="AB137" s="11">
        <f>IF(COUNTA(V137:AA137)=0,"",SUM(V137:AA137))</f>
        <v/>
      </c>
      <c r="AC137" s="11">
        <f>IF(U137="","",U137-IF(AB137="",0,AB137))</f>
        <v/>
      </c>
      <c r="AD137" s="12">
        <f>IF(AC137="","",IF(AC137&gt;0,"PROFIT",IF(AC137&lt;0,"LOSS","BREAKEVEN")))</f>
        <v/>
      </c>
      <c r="AE137" s="6" t="n"/>
      <c r="AF137" s="6" t="n"/>
      <c r="AG137" s="6" t="n"/>
      <c r="AH137" s="5" t="n"/>
    </row>
    <row r="138" ht="20" customHeight="1">
      <c r="A138" s="5" t="n"/>
      <c r="B138" s="6" t="n"/>
      <c r="C138" s="6" t="n"/>
      <c r="D138" s="7" t="n"/>
      <c r="E138" s="5" t="n"/>
      <c r="F138" s="6" t="n"/>
      <c r="G138" s="6" t="n"/>
      <c r="H138" s="6" t="n"/>
      <c r="I138" s="6" t="n"/>
      <c r="J138" s="5" t="n"/>
      <c r="K138" s="7" t="n"/>
      <c r="L138" s="6" t="n"/>
      <c r="M138" s="8" t="n"/>
      <c r="N138" s="8" t="n"/>
      <c r="O138" s="9">
        <f>IF(OR(M138="",N138="",N138=0),"",M138/N138)</f>
        <v/>
      </c>
      <c r="P138" s="10" t="n"/>
      <c r="Q138" s="10" t="n"/>
      <c r="R138" s="11">
        <f>IF(OR(M138="",P138=""),"",M138*P138)</f>
        <v/>
      </c>
      <c r="S138" s="11">
        <f>IF(OR(M138="",Q138=""),"",M138*Q138)</f>
        <v/>
      </c>
      <c r="T138" s="11">
        <f>IF(OR(R138="",S138=""),"",R138+S138)</f>
        <v/>
      </c>
      <c r="U138" s="11">
        <f>IF(OR(L138="",M138="",P138="",Q138=""),"",IF(UPPER(L138)="SHORT",(P138-Q138)*M138,(Q138-P138)*M138))</f>
        <v/>
      </c>
      <c r="V138" s="10" t="n"/>
      <c r="W138" s="10" t="n"/>
      <c r="X138" s="10" t="n"/>
      <c r="Y138" s="10" t="n"/>
      <c r="Z138" s="10" t="n"/>
      <c r="AA138" s="10" t="n"/>
      <c r="AB138" s="11">
        <f>IF(COUNTA(V138:AA138)=0,"",SUM(V138:AA138))</f>
        <v/>
      </c>
      <c r="AC138" s="11">
        <f>IF(U138="","",U138-IF(AB138="",0,AB138))</f>
        <v/>
      </c>
      <c r="AD138" s="12">
        <f>IF(AC138="","",IF(AC138&gt;0,"PROFIT",IF(AC138&lt;0,"LOSS","BREAKEVEN")))</f>
        <v/>
      </c>
      <c r="AE138" s="6" t="n"/>
      <c r="AF138" s="6" t="n"/>
      <c r="AG138" s="6" t="n"/>
      <c r="AH138" s="5" t="n"/>
    </row>
    <row r="139" ht="20" customHeight="1">
      <c r="A139" s="5" t="n"/>
      <c r="B139" s="6" t="n"/>
      <c r="C139" s="6" t="n"/>
      <c r="D139" s="7" t="n"/>
      <c r="E139" s="5" t="n"/>
      <c r="F139" s="6" t="n"/>
      <c r="G139" s="6" t="n"/>
      <c r="H139" s="6" t="n"/>
      <c r="I139" s="6" t="n"/>
      <c r="J139" s="5" t="n"/>
      <c r="K139" s="7" t="n"/>
      <c r="L139" s="6" t="n"/>
      <c r="M139" s="8" t="n"/>
      <c r="N139" s="8" t="n"/>
      <c r="O139" s="9">
        <f>IF(OR(M139="",N139="",N139=0),"",M139/N139)</f>
        <v/>
      </c>
      <c r="P139" s="10" t="n"/>
      <c r="Q139" s="10" t="n"/>
      <c r="R139" s="11">
        <f>IF(OR(M139="",P139=""),"",M139*P139)</f>
        <v/>
      </c>
      <c r="S139" s="11">
        <f>IF(OR(M139="",Q139=""),"",M139*Q139)</f>
        <v/>
      </c>
      <c r="T139" s="11">
        <f>IF(OR(R139="",S139=""),"",R139+S139)</f>
        <v/>
      </c>
      <c r="U139" s="11">
        <f>IF(OR(L139="",M139="",P139="",Q139=""),"",IF(UPPER(L139)="SHORT",(P139-Q139)*M139,(Q139-P139)*M139))</f>
        <v/>
      </c>
      <c r="V139" s="10" t="n"/>
      <c r="W139" s="10" t="n"/>
      <c r="X139" s="10" t="n"/>
      <c r="Y139" s="10" t="n"/>
      <c r="Z139" s="10" t="n"/>
      <c r="AA139" s="10" t="n"/>
      <c r="AB139" s="11">
        <f>IF(COUNTA(V139:AA139)=0,"",SUM(V139:AA139))</f>
        <v/>
      </c>
      <c r="AC139" s="11">
        <f>IF(U139="","",U139-IF(AB139="",0,AB139))</f>
        <v/>
      </c>
      <c r="AD139" s="12">
        <f>IF(AC139="","",IF(AC139&gt;0,"PROFIT",IF(AC139&lt;0,"LOSS","BREAKEVEN")))</f>
        <v/>
      </c>
      <c r="AE139" s="6" t="n"/>
      <c r="AF139" s="6" t="n"/>
      <c r="AG139" s="6" t="n"/>
      <c r="AH139" s="5" t="n"/>
    </row>
    <row r="140" ht="20" customHeight="1">
      <c r="A140" s="5" t="n"/>
      <c r="B140" s="6" t="n"/>
      <c r="C140" s="6" t="n"/>
      <c r="D140" s="7" t="n"/>
      <c r="E140" s="5" t="n"/>
      <c r="F140" s="6" t="n"/>
      <c r="G140" s="6" t="n"/>
      <c r="H140" s="6" t="n"/>
      <c r="I140" s="6" t="n"/>
      <c r="J140" s="5" t="n"/>
      <c r="K140" s="7" t="n"/>
      <c r="L140" s="6" t="n"/>
      <c r="M140" s="8" t="n"/>
      <c r="N140" s="8" t="n"/>
      <c r="O140" s="9">
        <f>IF(OR(M140="",N140="",N140=0),"",M140/N140)</f>
        <v/>
      </c>
      <c r="P140" s="10" t="n"/>
      <c r="Q140" s="10" t="n"/>
      <c r="R140" s="11">
        <f>IF(OR(M140="",P140=""),"",M140*P140)</f>
        <v/>
      </c>
      <c r="S140" s="11">
        <f>IF(OR(M140="",Q140=""),"",M140*Q140)</f>
        <v/>
      </c>
      <c r="T140" s="11">
        <f>IF(OR(R140="",S140=""),"",R140+S140)</f>
        <v/>
      </c>
      <c r="U140" s="11">
        <f>IF(OR(L140="",M140="",P140="",Q140=""),"",IF(UPPER(L140)="SHORT",(P140-Q140)*M140,(Q140-P140)*M140))</f>
        <v/>
      </c>
      <c r="V140" s="10" t="n"/>
      <c r="W140" s="10" t="n"/>
      <c r="X140" s="10" t="n"/>
      <c r="Y140" s="10" t="n"/>
      <c r="Z140" s="10" t="n"/>
      <c r="AA140" s="10" t="n"/>
      <c r="AB140" s="11">
        <f>IF(COUNTA(V140:AA140)=0,"",SUM(V140:AA140))</f>
        <v/>
      </c>
      <c r="AC140" s="11">
        <f>IF(U140="","",U140-IF(AB140="",0,AB140))</f>
        <v/>
      </c>
      <c r="AD140" s="12">
        <f>IF(AC140="","",IF(AC140&gt;0,"PROFIT",IF(AC140&lt;0,"LOSS","BREAKEVEN")))</f>
        <v/>
      </c>
      <c r="AE140" s="6" t="n"/>
      <c r="AF140" s="6" t="n"/>
      <c r="AG140" s="6" t="n"/>
      <c r="AH140" s="5" t="n"/>
    </row>
    <row r="141" ht="20" customHeight="1">
      <c r="A141" s="5" t="n"/>
      <c r="B141" s="6" t="n"/>
      <c r="C141" s="6" t="n"/>
      <c r="D141" s="7" t="n"/>
      <c r="E141" s="5" t="n"/>
      <c r="F141" s="6" t="n"/>
      <c r="G141" s="6" t="n"/>
      <c r="H141" s="6" t="n"/>
      <c r="I141" s="6" t="n"/>
      <c r="J141" s="5" t="n"/>
      <c r="K141" s="7" t="n"/>
      <c r="L141" s="6" t="n"/>
      <c r="M141" s="8" t="n"/>
      <c r="N141" s="8" t="n"/>
      <c r="O141" s="9">
        <f>IF(OR(M141="",N141="",N141=0),"",M141/N141)</f>
        <v/>
      </c>
      <c r="P141" s="10" t="n"/>
      <c r="Q141" s="10" t="n"/>
      <c r="R141" s="11">
        <f>IF(OR(M141="",P141=""),"",M141*P141)</f>
        <v/>
      </c>
      <c r="S141" s="11">
        <f>IF(OR(M141="",Q141=""),"",M141*Q141)</f>
        <v/>
      </c>
      <c r="T141" s="11">
        <f>IF(OR(R141="",S141=""),"",R141+S141)</f>
        <v/>
      </c>
      <c r="U141" s="11">
        <f>IF(OR(L141="",M141="",P141="",Q141=""),"",IF(UPPER(L141)="SHORT",(P141-Q141)*M141,(Q141-P141)*M141))</f>
        <v/>
      </c>
      <c r="V141" s="10" t="n"/>
      <c r="W141" s="10" t="n"/>
      <c r="X141" s="10" t="n"/>
      <c r="Y141" s="10" t="n"/>
      <c r="Z141" s="10" t="n"/>
      <c r="AA141" s="10" t="n"/>
      <c r="AB141" s="11">
        <f>IF(COUNTA(V141:AA141)=0,"",SUM(V141:AA141))</f>
        <v/>
      </c>
      <c r="AC141" s="11">
        <f>IF(U141="","",U141-IF(AB141="",0,AB141))</f>
        <v/>
      </c>
      <c r="AD141" s="12">
        <f>IF(AC141="","",IF(AC141&gt;0,"PROFIT",IF(AC141&lt;0,"LOSS","BREAKEVEN")))</f>
        <v/>
      </c>
      <c r="AE141" s="6" t="n"/>
      <c r="AF141" s="6" t="n"/>
      <c r="AG141" s="6" t="n"/>
      <c r="AH141" s="5" t="n"/>
    </row>
    <row r="142" ht="20" customHeight="1">
      <c r="A142" s="5" t="n"/>
      <c r="B142" s="6" t="n"/>
      <c r="C142" s="6" t="n"/>
      <c r="D142" s="7" t="n"/>
      <c r="E142" s="5" t="n"/>
      <c r="F142" s="6" t="n"/>
      <c r="G142" s="6" t="n"/>
      <c r="H142" s="6" t="n"/>
      <c r="I142" s="6" t="n"/>
      <c r="J142" s="5" t="n"/>
      <c r="K142" s="7" t="n"/>
      <c r="L142" s="6" t="n"/>
      <c r="M142" s="8" t="n"/>
      <c r="N142" s="8" t="n"/>
      <c r="O142" s="9">
        <f>IF(OR(M142="",N142="",N142=0),"",M142/N142)</f>
        <v/>
      </c>
      <c r="P142" s="10" t="n"/>
      <c r="Q142" s="10" t="n"/>
      <c r="R142" s="11">
        <f>IF(OR(M142="",P142=""),"",M142*P142)</f>
        <v/>
      </c>
      <c r="S142" s="11">
        <f>IF(OR(M142="",Q142=""),"",M142*Q142)</f>
        <v/>
      </c>
      <c r="T142" s="11">
        <f>IF(OR(R142="",S142=""),"",R142+S142)</f>
        <v/>
      </c>
      <c r="U142" s="11">
        <f>IF(OR(L142="",M142="",P142="",Q142=""),"",IF(UPPER(L142)="SHORT",(P142-Q142)*M142,(Q142-P142)*M142))</f>
        <v/>
      </c>
      <c r="V142" s="10" t="n"/>
      <c r="W142" s="10" t="n"/>
      <c r="X142" s="10" t="n"/>
      <c r="Y142" s="10" t="n"/>
      <c r="Z142" s="10" t="n"/>
      <c r="AA142" s="10" t="n"/>
      <c r="AB142" s="11">
        <f>IF(COUNTA(V142:AA142)=0,"",SUM(V142:AA142))</f>
        <v/>
      </c>
      <c r="AC142" s="11">
        <f>IF(U142="","",U142-IF(AB142="",0,AB142))</f>
        <v/>
      </c>
      <c r="AD142" s="12">
        <f>IF(AC142="","",IF(AC142&gt;0,"PROFIT",IF(AC142&lt;0,"LOSS","BREAKEVEN")))</f>
        <v/>
      </c>
      <c r="AE142" s="6" t="n"/>
      <c r="AF142" s="6" t="n"/>
      <c r="AG142" s="6" t="n"/>
      <c r="AH142" s="5" t="n"/>
    </row>
    <row r="143" ht="20" customHeight="1">
      <c r="A143" s="5" t="n"/>
      <c r="B143" s="6" t="n"/>
      <c r="C143" s="6" t="n"/>
      <c r="D143" s="7" t="n"/>
      <c r="E143" s="5" t="n"/>
      <c r="F143" s="6" t="n"/>
      <c r="G143" s="6" t="n"/>
      <c r="H143" s="6" t="n"/>
      <c r="I143" s="6" t="n"/>
      <c r="J143" s="5" t="n"/>
      <c r="K143" s="7" t="n"/>
      <c r="L143" s="6" t="n"/>
      <c r="M143" s="8" t="n"/>
      <c r="N143" s="8" t="n"/>
      <c r="O143" s="9">
        <f>IF(OR(M143="",N143="",N143=0),"",M143/N143)</f>
        <v/>
      </c>
      <c r="P143" s="10" t="n"/>
      <c r="Q143" s="10" t="n"/>
      <c r="R143" s="11">
        <f>IF(OR(M143="",P143=""),"",M143*P143)</f>
        <v/>
      </c>
      <c r="S143" s="11">
        <f>IF(OR(M143="",Q143=""),"",M143*Q143)</f>
        <v/>
      </c>
      <c r="T143" s="11">
        <f>IF(OR(R143="",S143=""),"",R143+S143)</f>
        <v/>
      </c>
      <c r="U143" s="11">
        <f>IF(OR(L143="",M143="",P143="",Q143=""),"",IF(UPPER(L143)="SHORT",(P143-Q143)*M143,(Q143-P143)*M143))</f>
        <v/>
      </c>
      <c r="V143" s="10" t="n"/>
      <c r="W143" s="10" t="n"/>
      <c r="X143" s="10" t="n"/>
      <c r="Y143" s="10" t="n"/>
      <c r="Z143" s="10" t="n"/>
      <c r="AA143" s="10" t="n"/>
      <c r="AB143" s="11">
        <f>IF(COUNTA(V143:AA143)=0,"",SUM(V143:AA143))</f>
        <v/>
      </c>
      <c r="AC143" s="11">
        <f>IF(U143="","",U143-IF(AB143="",0,AB143))</f>
        <v/>
      </c>
      <c r="AD143" s="12">
        <f>IF(AC143="","",IF(AC143&gt;0,"PROFIT",IF(AC143&lt;0,"LOSS","BREAKEVEN")))</f>
        <v/>
      </c>
      <c r="AE143" s="6" t="n"/>
      <c r="AF143" s="6" t="n"/>
      <c r="AG143" s="6" t="n"/>
      <c r="AH143" s="5" t="n"/>
    </row>
    <row r="144" ht="20" customHeight="1">
      <c r="A144" s="5" t="n"/>
      <c r="B144" s="6" t="n"/>
      <c r="C144" s="6" t="n"/>
      <c r="D144" s="7" t="n"/>
      <c r="E144" s="5" t="n"/>
      <c r="F144" s="6" t="n"/>
      <c r="G144" s="6" t="n"/>
      <c r="H144" s="6" t="n"/>
      <c r="I144" s="6" t="n"/>
      <c r="J144" s="5" t="n"/>
      <c r="K144" s="7" t="n"/>
      <c r="L144" s="6" t="n"/>
      <c r="M144" s="8" t="n"/>
      <c r="N144" s="8" t="n"/>
      <c r="O144" s="9">
        <f>IF(OR(M144="",N144="",N144=0),"",M144/N144)</f>
        <v/>
      </c>
      <c r="P144" s="10" t="n"/>
      <c r="Q144" s="10" t="n"/>
      <c r="R144" s="11">
        <f>IF(OR(M144="",P144=""),"",M144*P144)</f>
        <v/>
      </c>
      <c r="S144" s="11">
        <f>IF(OR(M144="",Q144=""),"",M144*Q144)</f>
        <v/>
      </c>
      <c r="T144" s="11">
        <f>IF(OR(R144="",S144=""),"",R144+S144)</f>
        <v/>
      </c>
      <c r="U144" s="11">
        <f>IF(OR(L144="",M144="",P144="",Q144=""),"",IF(UPPER(L144)="SHORT",(P144-Q144)*M144,(Q144-P144)*M144))</f>
        <v/>
      </c>
      <c r="V144" s="10" t="n"/>
      <c r="W144" s="10" t="n"/>
      <c r="X144" s="10" t="n"/>
      <c r="Y144" s="10" t="n"/>
      <c r="Z144" s="10" t="n"/>
      <c r="AA144" s="10" t="n"/>
      <c r="AB144" s="11">
        <f>IF(COUNTA(V144:AA144)=0,"",SUM(V144:AA144))</f>
        <v/>
      </c>
      <c r="AC144" s="11">
        <f>IF(U144="","",U144-IF(AB144="",0,AB144))</f>
        <v/>
      </c>
      <c r="AD144" s="12">
        <f>IF(AC144="","",IF(AC144&gt;0,"PROFIT",IF(AC144&lt;0,"LOSS","BREAKEVEN")))</f>
        <v/>
      </c>
      <c r="AE144" s="6" t="n"/>
      <c r="AF144" s="6" t="n"/>
      <c r="AG144" s="6" t="n"/>
      <c r="AH144" s="5" t="n"/>
    </row>
    <row r="145" ht="20" customHeight="1">
      <c r="A145" s="5" t="n"/>
      <c r="B145" s="6" t="n"/>
      <c r="C145" s="6" t="n"/>
      <c r="D145" s="7" t="n"/>
      <c r="E145" s="5" t="n"/>
      <c r="F145" s="6" t="n"/>
      <c r="G145" s="6" t="n"/>
      <c r="H145" s="6" t="n"/>
      <c r="I145" s="6" t="n"/>
      <c r="J145" s="5" t="n"/>
      <c r="K145" s="7" t="n"/>
      <c r="L145" s="6" t="n"/>
      <c r="M145" s="8" t="n"/>
      <c r="N145" s="8" t="n"/>
      <c r="O145" s="9">
        <f>IF(OR(M145="",N145="",N145=0),"",M145/N145)</f>
        <v/>
      </c>
      <c r="P145" s="10" t="n"/>
      <c r="Q145" s="10" t="n"/>
      <c r="R145" s="11">
        <f>IF(OR(M145="",P145=""),"",M145*P145)</f>
        <v/>
      </c>
      <c r="S145" s="11">
        <f>IF(OR(M145="",Q145=""),"",M145*Q145)</f>
        <v/>
      </c>
      <c r="T145" s="11">
        <f>IF(OR(R145="",S145=""),"",R145+S145)</f>
        <v/>
      </c>
      <c r="U145" s="11">
        <f>IF(OR(L145="",M145="",P145="",Q145=""),"",IF(UPPER(L145)="SHORT",(P145-Q145)*M145,(Q145-P145)*M145))</f>
        <v/>
      </c>
      <c r="V145" s="10" t="n"/>
      <c r="W145" s="10" t="n"/>
      <c r="X145" s="10" t="n"/>
      <c r="Y145" s="10" t="n"/>
      <c r="Z145" s="10" t="n"/>
      <c r="AA145" s="10" t="n"/>
      <c r="AB145" s="11">
        <f>IF(COUNTA(V145:AA145)=0,"",SUM(V145:AA145))</f>
        <v/>
      </c>
      <c r="AC145" s="11">
        <f>IF(U145="","",U145-IF(AB145="",0,AB145))</f>
        <v/>
      </c>
      <c r="AD145" s="12">
        <f>IF(AC145="","",IF(AC145&gt;0,"PROFIT",IF(AC145&lt;0,"LOSS","BREAKEVEN")))</f>
        <v/>
      </c>
      <c r="AE145" s="6" t="n"/>
      <c r="AF145" s="6" t="n"/>
      <c r="AG145" s="6" t="n"/>
      <c r="AH145" s="5" t="n"/>
    </row>
    <row r="146" ht="20" customHeight="1">
      <c r="A146" s="5" t="n"/>
      <c r="B146" s="6" t="n"/>
      <c r="C146" s="6" t="n"/>
      <c r="D146" s="7" t="n"/>
      <c r="E146" s="5" t="n"/>
      <c r="F146" s="6" t="n"/>
      <c r="G146" s="6" t="n"/>
      <c r="H146" s="6" t="n"/>
      <c r="I146" s="6" t="n"/>
      <c r="J146" s="5" t="n"/>
      <c r="K146" s="7" t="n"/>
      <c r="L146" s="6" t="n"/>
      <c r="M146" s="8" t="n"/>
      <c r="N146" s="8" t="n"/>
      <c r="O146" s="9">
        <f>IF(OR(M146="",N146="",N146=0),"",M146/N146)</f>
        <v/>
      </c>
      <c r="P146" s="10" t="n"/>
      <c r="Q146" s="10" t="n"/>
      <c r="R146" s="11">
        <f>IF(OR(M146="",P146=""),"",M146*P146)</f>
        <v/>
      </c>
      <c r="S146" s="11">
        <f>IF(OR(M146="",Q146=""),"",M146*Q146)</f>
        <v/>
      </c>
      <c r="T146" s="11">
        <f>IF(OR(R146="",S146=""),"",R146+S146)</f>
        <v/>
      </c>
      <c r="U146" s="11">
        <f>IF(OR(L146="",M146="",P146="",Q146=""),"",IF(UPPER(L146)="SHORT",(P146-Q146)*M146,(Q146-P146)*M146))</f>
        <v/>
      </c>
      <c r="V146" s="10" t="n"/>
      <c r="W146" s="10" t="n"/>
      <c r="X146" s="10" t="n"/>
      <c r="Y146" s="10" t="n"/>
      <c r="Z146" s="10" t="n"/>
      <c r="AA146" s="10" t="n"/>
      <c r="AB146" s="11">
        <f>IF(COUNTA(V146:AA146)=0,"",SUM(V146:AA146))</f>
        <v/>
      </c>
      <c r="AC146" s="11">
        <f>IF(U146="","",U146-IF(AB146="",0,AB146))</f>
        <v/>
      </c>
      <c r="AD146" s="12">
        <f>IF(AC146="","",IF(AC146&gt;0,"PROFIT",IF(AC146&lt;0,"LOSS","BREAKEVEN")))</f>
        <v/>
      </c>
      <c r="AE146" s="6" t="n"/>
      <c r="AF146" s="6" t="n"/>
      <c r="AG146" s="6" t="n"/>
      <c r="AH146" s="5" t="n"/>
    </row>
    <row r="147" ht="20" customHeight="1">
      <c r="A147" s="5" t="n"/>
      <c r="B147" s="6" t="n"/>
      <c r="C147" s="6" t="n"/>
      <c r="D147" s="7" t="n"/>
      <c r="E147" s="5" t="n"/>
      <c r="F147" s="6" t="n"/>
      <c r="G147" s="6" t="n"/>
      <c r="H147" s="6" t="n"/>
      <c r="I147" s="6" t="n"/>
      <c r="J147" s="5" t="n"/>
      <c r="K147" s="7" t="n"/>
      <c r="L147" s="6" t="n"/>
      <c r="M147" s="8" t="n"/>
      <c r="N147" s="8" t="n"/>
      <c r="O147" s="9">
        <f>IF(OR(M147="",N147="",N147=0),"",M147/N147)</f>
        <v/>
      </c>
      <c r="P147" s="10" t="n"/>
      <c r="Q147" s="10" t="n"/>
      <c r="R147" s="11">
        <f>IF(OR(M147="",P147=""),"",M147*P147)</f>
        <v/>
      </c>
      <c r="S147" s="11">
        <f>IF(OR(M147="",Q147=""),"",M147*Q147)</f>
        <v/>
      </c>
      <c r="T147" s="11">
        <f>IF(OR(R147="",S147=""),"",R147+S147)</f>
        <v/>
      </c>
      <c r="U147" s="11">
        <f>IF(OR(L147="",M147="",P147="",Q147=""),"",IF(UPPER(L147)="SHORT",(P147-Q147)*M147,(Q147-P147)*M147))</f>
        <v/>
      </c>
      <c r="V147" s="10" t="n"/>
      <c r="W147" s="10" t="n"/>
      <c r="X147" s="10" t="n"/>
      <c r="Y147" s="10" t="n"/>
      <c r="Z147" s="10" t="n"/>
      <c r="AA147" s="10" t="n"/>
      <c r="AB147" s="11">
        <f>IF(COUNTA(V147:AA147)=0,"",SUM(V147:AA147))</f>
        <v/>
      </c>
      <c r="AC147" s="11">
        <f>IF(U147="","",U147-IF(AB147="",0,AB147))</f>
        <v/>
      </c>
      <c r="AD147" s="12">
        <f>IF(AC147="","",IF(AC147&gt;0,"PROFIT",IF(AC147&lt;0,"LOSS","BREAKEVEN")))</f>
        <v/>
      </c>
      <c r="AE147" s="6" t="n"/>
      <c r="AF147" s="6" t="n"/>
      <c r="AG147" s="6" t="n"/>
      <c r="AH147" s="5" t="n"/>
    </row>
    <row r="148" ht="20" customHeight="1">
      <c r="A148" s="5" t="n"/>
      <c r="B148" s="6" t="n"/>
      <c r="C148" s="6" t="n"/>
      <c r="D148" s="7" t="n"/>
      <c r="E148" s="5" t="n"/>
      <c r="F148" s="6" t="n"/>
      <c r="G148" s="6" t="n"/>
      <c r="H148" s="6" t="n"/>
      <c r="I148" s="6" t="n"/>
      <c r="J148" s="5" t="n"/>
      <c r="K148" s="7" t="n"/>
      <c r="L148" s="6" t="n"/>
      <c r="M148" s="8" t="n"/>
      <c r="N148" s="8" t="n"/>
      <c r="O148" s="9">
        <f>IF(OR(M148="",N148="",N148=0),"",M148/N148)</f>
        <v/>
      </c>
      <c r="P148" s="10" t="n"/>
      <c r="Q148" s="10" t="n"/>
      <c r="R148" s="11">
        <f>IF(OR(M148="",P148=""),"",M148*P148)</f>
        <v/>
      </c>
      <c r="S148" s="11">
        <f>IF(OR(M148="",Q148=""),"",M148*Q148)</f>
        <v/>
      </c>
      <c r="T148" s="11">
        <f>IF(OR(R148="",S148=""),"",R148+S148)</f>
        <v/>
      </c>
      <c r="U148" s="11">
        <f>IF(OR(L148="",M148="",P148="",Q148=""),"",IF(UPPER(L148)="SHORT",(P148-Q148)*M148,(Q148-P148)*M148))</f>
        <v/>
      </c>
      <c r="V148" s="10" t="n"/>
      <c r="W148" s="10" t="n"/>
      <c r="X148" s="10" t="n"/>
      <c r="Y148" s="10" t="n"/>
      <c r="Z148" s="10" t="n"/>
      <c r="AA148" s="10" t="n"/>
      <c r="AB148" s="11">
        <f>IF(COUNTA(V148:AA148)=0,"",SUM(V148:AA148))</f>
        <v/>
      </c>
      <c r="AC148" s="11">
        <f>IF(U148="","",U148-IF(AB148="",0,AB148))</f>
        <v/>
      </c>
      <c r="AD148" s="12">
        <f>IF(AC148="","",IF(AC148&gt;0,"PROFIT",IF(AC148&lt;0,"LOSS","BREAKEVEN")))</f>
        <v/>
      </c>
      <c r="AE148" s="6" t="n"/>
      <c r="AF148" s="6" t="n"/>
      <c r="AG148" s="6" t="n"/>
      <c r="AH148" s="5" t="n"/>
    </row>
    <row r="149" ht="20" customHeight="1">
      <c r="A149" s="5" t="n"/>
      <c r="B149" s="6" t="n"/>
      <c r="C149" s="6" t="n"/>
      <c r="D149" s="7" t="n"/>
      <c r="E149" s="5" t="n"/>
      <c r="F149" s="6" t="n"/>
      <c r="G149" s="6" t="n"/>
      <c r="H149" s="6" t="n"/>
      <c r="I149" s="6" t="n"/>
      <c r="J149" s="5" t="n"/>
      <c r="K149" s="7" t="n"/>
      <c r="L149" s="6" t="n"/>
      <c r="M149" s="8" t="n"/>
      <c r="N149" s="8" t="n"/>
      <c r="O149" s="9">
        <f>IF(OR(M149="",N149="",N149=0),"",M149/N149)</f>
        <v/>
      </c>
      <c r="P149" s="10" t="n"/>
      <c r="Q149" s="10" t="n"/>
      <c r="R149" s="11">
        <f>IF(OR(M149="",P149=""),"",M149*P149)</f>
        <v/>
      </c>
      <c r="S149" s="11">
        <f>IF(OR(M149="",Q149=""),"",M149*Q149)</f>
        <v/>
      </c>
      <c r="T149" s="11">
        <f>IF(OR(R149="",S149=""),"",R149+S149)</f>
        <v/>
      </c>
      <c r="U149" s="11">
        <f>IF(OR(L149="",M149="",P149="",Q149=""),"",IF(UPPER(L149)="SHORT",(P149-Q149)*M149,(Q149-P149)*M149))</f>
        <v/>
      </c>
      <c r="V149" s="10" t="n"/>
      <c r="W149" s="10" t="n"/>
      <c r="X149" s="10" t="n"/>
      <c r="Y149" s="10" t="n"/>
      <c r="Z149" s="10" t="n"/>
      <c r="AA149" s="10" t="n"/>
      <c r="AB149" s="11">
        <f>IF(COUNTA(V149:AA149)=0,"",SUM(V149:AA149))</f>
        <v/>
      </c>
      <c r="AC149" s="11">
        <f>IF(U149="","",U149-IF(AB149="",0,AB149))</f>
        <v/>
      </c>
      <c r="AD149" s="12">
        <f>IF(AC149="","",IF(AC149&gt;0,"PROFIT",IF(AC149&lt;0,"LOSS","BREAKEVEN")))</f>
        <v/>
      </c>
      <c r="AE149" s="6" t="n"/>
      <c r="AF149" s="6" t="n"/>
      <c r="AG149" s="6" t="n"/>
      <c r="AH149" s="5" t="n"/>
    </row>
    <row r="150" ht="20" customHeight="1">
      <c r="A150" s="5" t="n"/>
      <c r="B150" s="6" t="n"/>
      <c r="C150" s="6" t="n"/>
      <c r="D150" s="7" t="n"/>
      <c r="E150" s="5" t="n"/>
      <c r="F150" s="6" t="n"/>
      <c r="G150" s="6" t="n"/>
      <c r="H150" s="6" t="n"/>
      <c r="I150" s="6" t="n"/>
      <c r="J150" s="5" t="n"/>
      <c r="K150" s="7" t="n"/>
      <c r="L150" s="6" t="n"/>
      <c r="M150" s="8" t="n"/>
      <c r="N150" s="8" t="n"/>
      <c r="O150" s="9">
        <f>IF(OR(M150="",N150="",N150=0),"",M150/N150)</f>
        <v/>
      </c>
      <c r="P150" s="10" t="n"/>
      <c r="Q150" s="10" t="n"/>
      <c r="R150" s="11">
        <f>IF(OR(M150="",P150=""),"",M150*P150)</f>
        <v/>
      </c>
      <c r="S150" s="11">
        <f>IF(OR(M150="",Q150=""),"",M150*Q150)</f>
        <v/>
      </c>
      <c r="T150" s="11">
        <f>IF(OR(R150="",S150=""),"",R150+S150)</f>
        <v/>
      </c>
      <c r="U150" s="11">
        <f>IF(OR(L150="",M150="",P150="",Q150=""),"",IF(UPPER(L150)="SHORT",(P150-Q150)*M150,(Q150-P150)*M150))</f>
        <v/>
      </c>
      <c r="V150" s="10" t="n"/>
      <c r="W150" s="10" t="n"/>
      <c r="X150" s="10" t="n"/>
      <c r="Y150" s="10" t="n"/>
      <c r="Z150" s="10" t="n"/>
      <c r="AA150" s="10" t="n"/>
      <c r="AB150" s="11">
        <f>IF(COUNTA(V150:AA150)=0,"",SUM(V150:AA150))</f>
        <v/>
      </c>
      <c r="AC150" s="11">
        <f>IF(U150="","",U150-IF(AB150="",0,AB150))</f>
        <v/>
      </c>
      <c r="AD150" s="12">
        <f>IF(AC150="","",IF(AC150&gt;0,"PROFIT",IF(AC150&lt;0,"LOSS","BREAKEVEN")))</f>
        <v/>
      </c>
      <c r="AE150" s="6" t="n"/>
      <c r="AF150" s="6" t="n"/>
      <c r="AG150" s="6" t="n"/>
      <c r="AH150" s="5" t="n"/>
    </row>
    <row r="151" ht="20" customHeight="1">
      <c r="A151" s="5" t="n"/>
      <c r="B151" s="6" t="n"/>
      <c r="C151" s="6" t="n"/>
      <c r="D151" s="7" t="n"/>
      <c r="E151" s="5" t="n"/>
      <c r="F151" s="6" t="n"/>
      <c r="G151" s="6" t="n"/>
      <c r="H151" s="6" t="n"/>
      <c r="I151" s="6" t="n"/>
      <c r="J151" s="5" t="n"/>
      <c r="K151" s="7" t="n"/>
      <c r="L151" s="6" t="n"/>
      <c r="M151" s="8" t="n"/>
      <c r="N151" s="8" t="n"/>
      <c r="O151" s="9">
        <f>IF(OR(M151="",N151="",N151=0),"",M151/N151)</f>
        <v/>
      </c>
      <c r="P151" s="10" t="n"/>
      <c r="Q151" s="10" t="n"/>
      <c r="R151" s="11">
        <f>IF(OR(M151="",P151=""),"",M151*P151)</f>
        <v/>
      </c>
      <c r="S151" s="11">
        <f>IF(OR(M151="",Q151=""),"",M151*Q151)</f>
        <v/>
      </c>
      <c r="T151" s="11">
        <f>IF(OR(R151="",S151=""),"",R151+S151)</f>
        <v/>
      </c>
      <c r="U151" s="11">
        <f>IF(OR(L151="",M151="",P151="",Q151=""),"",IF(UPPER(L151)="SHORT",(P151-Q151)*M151,(Q151-P151)*M151))</f>
        <v/>
      </c>
      <c r="V151" s="10" t="n"/>
      <c r="W151" s="10" t="n"/>
      <c r="X151" s="10" t="n"/>
      <c r="Y151" s="10" t="n"/>
      <c r="Z151" s="10" t="n"/>
      <c r="AA151" s="10" t="n"/>
      <c r="AB151" s="11">
        <f>IF(COUNTA(V151:AA151)=0,"",SUM(V151:AA151))</f>
        <v/>
      </c>
      <c r="AC151" s="11">
        <f>IF(U151="","",U151-IF(AB151="",0,AB151))</f>
        <v/>
      </c>
      <c r="AD151" s="12">
        <f>IF(AC151="","",IF(AC151&gt;0,"PROFIT",IF(AC151&lt;0,"LOSS","BREAKEVEN")))</f>
        <v/>
      </c>
      <c r="AE151" s="6" t="n"/>
      <c r="AF151" s="6" t="n"/>
      <c r="AG151" s="6" t="n"/>
      <c r="AH151" s="5" t="n"/>
    </row>
    <row r="152" ht="20" customHeight="1">
      <c r="A152" s="5" t="n"/>
      <c r="B152" s="6" t="n"/>
      <c r="C152" s="6" t="n"/>
      <c r="D152" s="7" t="n"/>
      <c r="E152" s="5" t="n"/>
      <c r="F152" s="6" t="n"/>
      <c r="G152" s="6" t="n"/>
      <c r="H152" s="6" t="n"/>
      <c r="I152" s="6" t="n"/>
      <c r="J152" s="5" t="n"/>
      <c r="K152" s="7" t="n"/>
      <c r="L152" s="6" t="n"/>
      <c r="M152" s="8" t="n"/>
      <c r="N152" s="8" t="n"/>
      <c r="O152" s="9">
        <f>IF(OR(M152="",N152="",N152=0),"",M152/N152)</f>
        <v/>
      </c>
      <c r="P152" s="10" t="n"/>
      <c r="Q152" s="10" t="n"/>
      <c r="R152" s="11">
        <f>IF(OR(M152="",P152=""),"",M152*P152)</f>
        <v/>
      </c>
      <c r="S152" s="11">
        <f>IF(OR(M152="",Q152=""),"",M152*Q152)</f>
        <v/>
      </c>
      <c r="T152" s="11">
        <f>IF(OR(R152="",S152=""),"",R152+S152)</f>
        <v/>
      </c>
      <c r="U152" s="11">
        <f>IF(OR(L152="",M152="",P152="",Q152=""),"",IF(UPPER(L152)="SHORT",(P152-Q152)*M152,(Q152-P152)*M152))</f>
        <v/>
      </c>
      <c r="V152" s="10" t="n"/>
      <c r="W152" s="10" t="n"/>
      <c r="X152" s="10" t="n"/>
      <c r="Y152" s="10" t="n"/>
      <c r="Z152" s="10" t="n"/>
      <c r="AA152" s="10" t="n"/>
      <c r="AB152" s="11">
        <f>IF(COUNTA(V152:AA152)=0,"",SUM(V152:AA152))</f>
        <v/>
      </c>
      <c r="AC152" s="11">
        <f>IF(U152="","",U152-IF(AB152="",0,AB152))</f>
        <v/>
      </c>
      <c r="AD152" s="12">
        <f>IF(AC152="","",IF(AC152&gt;0,"PROFIT",IF(AC152&lt;0,"LOSS","BREAKEVEN")))</f>
        <v/>
      </c>
      <c r="AE152" s="6" t="n"/>
      <c r="AF152" s="6" t="n"/>
      <c r="AG152" s="6" t="n"/>
      <c r="AH152" s="5" t="n"/>
    </row>
    <row r="153" ht="20" customHeight="1">
      <c r="A153" s="5" t="n"/>
      <c r="B153" s="6" t="n"/>
      <c r="C153" s="6" t="n"/>
      <c r="D153" s="7" t="n"/>
      <c r="E153" s="5" t="n"/>
      <c r="F153" s="6" t="n"/>
      <c r="G153" s="6" t="n"/>
      <c r="H153" s="6" t="n"/>
      <c r="I153" s="6" t="n"/>
      <c r="J153" s="5" t="n"/>
      <c r="K153" s="7" t="n"/>
      <c r="L153" s="6" t="n"/>
      <c r="M153" s="8" t="n"/>
      <c r="N153" s="8" t="n"/>
      <c r="O153" s="9">
        <f>IF(OR(M153="",N153="",N153=0),"",M153/N153)</f>
        <v/>
      </c>
      <c r="P153" s="10" t="n"/>
      <c r="Q153" s="10" t="n"/>
      <c r="R153" s="11">
        <f>IF(OR(M153="",P153=""),"",M153*P153)</f>
        <v/>
      </c>
      <c r="S153" s="11">
        <f>IF(OR(M153="",Q153=""),"",M153*Q153)</f>
        <v/>
      </c>
      <c r="T153" s="11">
        <f>IF(OR(R153="",S153=""),"",R153+S153)</f>
        <v/>
      </c>
      <c r="U153" s="11">
        <f>IF(OR(L153="",M153="",P153="",Q153=""),"",IF(UPPER(L153)="SHORT",(P153-Q153)*M153,(Q153-P153)*M153))</f>
        <v/>
      </c>
      <c r="V153" s="10" t="n"/>
      <c r="W153" s="10" t="n"/>
      <c r="X153" s="10" t="n"/>
      <c r="Y153" s="10" t="n"/>
      <c r="Z153" s="10" t="n"/>
      <c r="AA153" s="10" t="n"/>
      <c r="AB153" s="11">
        <f>IF(COUNTA(V153:AA153)=0,"",SUM(V153:AA153))</f>
        <v/>
      </c>
      <c r="AC153" s="11">
        <f>IF(U153="","",U153-IF(AB153="",0,AB153))</f>
        <v/>
      </c>
      <c r="AD153" s="12">
        <f>IF(AC153="","",IF(AC153&gt;0,"PROFIT",IF(AC153&lt;0,"LOSS","BREAKEVEN")))</f>
        <v/>
      </c>
      <c r="AE153" s="6" t="n"/>
      <c r="AF153" s="6" t="n"/>
      <c r="AG153" s="6" t="n"/>
      <c r="AH153" s="5" t="n"/>
    </row>
    <row r="154" ht="20" customHeight="1">
      <c r="A154" s="5" t="n"/>
      <c r="B154" s="6" t="n"/>
      <c r="C154" s="6" t="n"/>
      <c r="D154" s="7" t="n"/>
      <c r="E154" s="5" t="n"/>
      <c r="F154" s="6" t="n"/>
      <c r="G154" s="6" t="n"/>
      <c r="H154" s="6" t="n"/>
      <c r="I154" s="6" t="n"/>
      <c r="J154" s="5" t="n"/>
      <c r="K154" s="7" t="n"/>
      <c r="L154" s="6" t="n"/>
      <c r="M154" s="8" t="n"/>
      <c r="N154" s="8" t="n"/>
      <c r="O154" s="9">
        <f>IF(OR(M154="",N154="",N154=0),"",M154/N154)</f>
        <v/>
      </c>
      <c r="P154" s="10" t="n"/>
      <c r="Q154" s="10" t="n"/>
      <c r="R154" s="11">
        <f>IF(OR(M154="",P154=""),"",M154*P154)</f>
        <v/>
      </c>
      <c r="S154" s="11">
        <f>IF(OR(M154="",Q154=""),"",M154*Q154)</f>
        <v/>
      </c>
      <c r="T154" s="11">
        <f>IF(OR(R154="",S154=""),"",R154+S154)</f>
        <v/>
      </c>
      <c r="U154" s="11">
        <f>IF(OR(L154="",M154="",P154="",Q154=""),"",IF(UPPER(L154)="SHORT",(P154-Q154)*M154,(Q154-P154)*M154))</f>
        <v/>
      </c>
      <c r="V154" s="10" t="n"/>
      <c r="W154" s="10" t="n"/>
      <c r="X154" s="10" t="n"/>
      <c r="Y154" s="10" t="n"/>
      <c r="Z154" s="10" t="n"/>
      <c r="AA154" s="10" t="n"/>
      <c r="AB154" s="11">
        <f>IF(COUNTA(V154:AA154)=0,"",SUM(V154:AA154))</f>
        <v/>
      </c>
      <c r="AC154" s="11">
        <f>IF(U154="","",U154-IF(AB154="",0,AB154))</f>
        <v/>
      </c>
      <c r="AD154" s="12">
        <f>IF(AC154="","",IF(AC154&gt;0,"PROFIT",IF(AC154&lt;0,"LOSS","BREAKEVEN")))</f>
        <v/>
      </c>
      <c r="AE154" s="6" t="n"/>
      <c r="AF154" s="6" t="n"/>
      <c r="AG154" s="6" t="n"/>
      <c r="AH154" s="5" t="n"/>
    </row>
    <row r="155" ht="20" customHeight="1">
      <c r="A155" s="5" t="n"/>
      <c r="B155" s="6" t="n"/>
      <c r="C155" s="6" t="n"/>
      <c r="D155" s="7" t="n"/>
      <c r="E155" s="5" t="n"/>
      <c r="F155" s="6" t="n"/>
      <c r="G155" s="6" t="n"/>
      <c r="H155" s="6" t="n"/>
      <c r="I155" s="6" t="n"/>
      <c r="J155" s="5" t="n"/>
      <c r="K155" s="7" t="n"/>
      <c r="L155" s="6" t="n"/>
      <c r="M155" s="8" t="n"/>
      <c r="N155" s="8" t="n"/>
      <c r="O155" s="9">
        <f>IF(OR(M155="",N155="",N155=0),"",M155/N155)</f>
        <v/>
      </c>
      <c r="P155" s="10" t="n"/>
      <c r="Q155" s="10" t="n"/>
      <c r="R155" s="11">
        <f>IF(OR(M155="",P155=""),"",M155*P155)</f>
        <v/>
      </c>
      <c r="S155" s="11">
        <f>IF(OR(M155="",Q155=""),"",M155*Q155)</f>
        <v/>
      </c>
      <c r="T155" s="11">
        <f>IF(OR(R155="",S155=""),"",R155+S155)</f>
        <v/>
      </c>
      <c r="U155" s="11">
        <f>IF(OR(L155="",M155="",P155="",Q155=""),"",IF(UPPER(L155)="SHORT",(P155-Q155)*M155,(Q155-P155)*M155))</f>
        <v/>
      </c>
      <c r="V155" s="10" t="n"/>
      <c r="W155" s="10" t="n"/>
      <c r="X155" s="10" t="n"/>
      <c r="Y155" s="10" t="n"/>
      <c r="Z155" s="10" t="n"/>
      <c r="AA155" s="10" t="n"/>
      <c r="AB155" s="11">
        <f>IF(COUNTA(V155:AA155)=0,"",SUM(V155:AA155))</f>
        <v/>
      </c>
      <c r="AC155" s="11">
        <f>IF(U155="","",U155-IF(AB155="",0,AB155))</f>
        <v/>
      </c>
      <c r="AD155" s="12">
        <f>IF(AC155="","",IF(AC155&gt;0,"PROFIT",IF(AC155&lt;0,"LOSS","BREAKEVEN")))</f>
        <v/>
      </c>
      <c r="AE155" s="6" t="n"/>
      <c r="AF155" s="6" t="n"/>
      <c r="AG155" s="6" t="n"/>
      <c r="AH155" s="5" t="n"/>
    </row>
    <row r="156" ht="20" customHeight="1">
      <c r="A156" s="5" t="n"/>
      <c r="B156" s="6" t="n"/>
      <c r="C156" s="6" t="n"/>
      <c r="D156" s="7" t="n"/>
      <c r="E156" s="5" t="n"/>
      <c r="F156" s="6" t="n"/>
      <c r="G156" s="6" t="n"/>
      <c r="H156" s="6" t="n"/>
      <c r="I156" s="6" t="n"/>
      <c r="J156" s="5" t="n"/>
      <c r="K156" s="7" t="n"/>
      <c r="L156" s="6" t="n"/>
      <c r="M156" s="8" t="n"/>
      <c r="N156" s="8" t="n"/>
      <c r="O156" s="9">
        <f>IF(OR(M156="",N156="",N156=0),"",M156/N156)</f>
        <v/>
      </c>
      <c r="P156" s="10" t="n"/>
      <c r="Q156" s="10" t="n"/>
      <c r="R156" s="11">
        <f>IF(OR(M156="",P156=""),"",M156*P156)</f>
        <v/>
      </c>
      <c r="S156" s="11">
        <f>IF(OR(M156="",Q156=""),"",M156*Q156)</f>
        <v/>
      </c>
      <c r="T156" s="11">
        <f>IF(OR(R156="",S156=""),"",R156+S156)</f>
        <v/>
      </c>
      <c r="U156" s="11">
        <f>IF(OR(L156="",M156="",P156="",Q156=""),"",IF(UPPER(L156)="SHORT",(P156-Q156)*M156,(Q156-P156)*M156))</f>
        <v/>
      </c>
      <c r="V156" s="10" t="n"/>
      <c r="W156" s="10" t="n"/>
      <c r="X156" s="10" t="n"/>
      <c r="Y156" s="10" t="n"/>
      <c r="Z156" s="10" t="n"/>
      <c r="AA156" s="10" t="n"/>
      <c r="AB156" s="11">
        <f>IF(COUNTA(V156:AA156)=0,"",SUM(V156:AA156))</f>
        <v/>
      </c>
      <c r="AC156" s="11">
        <f>IF(U156="","",U156-IF(AB156="",0,AB156))</f>
        <v/>
      </c>
      <c r="AD156" s="12">
        <f>IF(AC156="","",IF(AC156&gt;0,"PROFIT",IF(AC156&lt;0,"LOSS","BREAKEVEN")))</f>
        <v/>
      </c>
      <c r="AE156" s="6" t="n"/>
      <c r="AF156" s="6" t="n"/>
      <c r="AG156" s="6" t="n"/>
      <c r="AH156" s="5" t="n"/>
    </row>
    <row r="157" ht="20" customHeight="1">
      <c r="A157" s="5" t="n"/>
      <c r="B157" s="6" t="n"/>
      <c r="C157" s="6" t="n"/>
      <c r="D157" s="7" t="n"/>
      <c r="E157" s="5" t="n"/>
      <c r="F157" s="6" t="n"/>
      <c r="G157" s="6" t="n"/>
      <c r="H157" s="6" t="n"/>
      <c r="I157" s="6" t="n"/>
      <c r="J157" s="5" t="n"/>
      <c r="K157" s="7" t="n"/>
      <c r="L157" s="6" t="n"/>
      <c r="M157" s="8" t="n"/>
      <c r="N157" s="8" t="n"/>
      <c r="O157" s="9">
        <f>IF(OR(M157="",N157="",N157=0),"",M157/N157)</f>
        <v/>
      </c>
      <c r="P157" s="10" t="n"/>
      <c r="Q157" s="10" t="n"/>
      <c r="R157" s="11">
        <f>IF(OR(M157="",P157=""),"",M157*P157)</f>
        <v/>
      </c>
      <c r="S157" s="11">
        <f>IF(OR(M157="",Q157=""),"",M157*Q157)</f>
        <v/>
      </c>
      <c r="T157" s="11">
        <f>IF(OR(R157="",S157=""),"",R157+S157)</f>
        <v/>
      </c>
      <c r="U157" s="11">
        <f>IF(OR(L157="",M157="",P157="",Q157=""),"",IF(UPPER(L157)="SHORT",(P157-Q157)*M157,(Q157-P157)*M157))</f>
        <v/>
      </c>
      <c r="V157" s="10" t="n"/>
      <c r="W157" s="10" t="n"/>
      <c r="X157" s="10" t="n"/>
      <c r="Y157" s="10" t="n"/>
      <c r="Z157" s="10" t="n"/>
      <c r="AA157" s="10" t="n"/>
      <c r="AB157" s="11">
        <f>IF(COUNTA(V157:AA157)=0,"",SUM(V157:AA157))</f>
        <v/>
      </c>
      <c r="AC157" s="11">
        <f>IF(U157="","",U157-IF(AB157="",0,AB157))</f>
        <v/>
      </c>
      <c r="AD157" s="12">
        <f>IF(AC157="","",IF(AC157&gt;0,"PROFIT",IF(AC157&lt;0,"LOSS","BREAKEVEN")))</f>
        <v/>
      </c>
      <c r="AE157" s="6" t="n"/>
      <c r="AF157" s="6" t="n"/>
      <c r="AG157" s="6" t="n"/>
      <c r="AH157" s="5" t="n"/>
    </row>
    <row r="158" ht="20" customHeight="1">
      <c r="A158" s="5" t="n"/>
      <c r="B158" s="6" t="n"/>
      <c r="C158" s="6" t="n"/>
      <c r="D158" s="7" t="n"/>
      <c r="E158" s="5" t="n"/>
      <c r="F158" s="6" t="n"/>
      <c r="G158" s="6" t="n"/>
      <c r="H158" s="6" t="n"/>
      <c r="I158" s="6" t="n"/>
      <c r="J158" s="5" t="n"/>
      <c r="K158" s="7" t="n"/>
      <c r="L158" s="6" t="n"/>
      <c r="M158" s="8" t="n"/>
      <c r="N158" s="8" t="n"/>
      <c r="O158" s="9">
        <f>IF(OR(M158="",N158="",N158=0),"",M158/N158)</f>
        <v/>
      </c>
      <c r="P158" s="10" t="n"/>
      <c r="Q158" s="10" t="n"/>
      <c r="R158" s="11">
        <f>IF(OR(M158="",P158=""),"",M158*P158)</f>
        <v/>
      </c>
      <c r="S158" s="11">
        <f>IF(OR(M158="",Q158=""),"",M158*Q158)</f>
        <v/>
      </c>
      <c r="T158" s="11">
        <f>IF(OR(R158="",S158=""),"",R158+S158)</f>
        <v/>
      </c>
      <c r="U158" s="11">
        <f>IF(OR(L158="",M158="",P158="",Q158=""),"",IF(UPPER(L158)="SHORT",(P158-Q158)*M158,(Q158-P158)*M158))</f>
        <v/>
      </c>
      <c r="V158" s="10" t="n"/>
      <c r="W158" s="10" t="n"/>
      <c r="X158" s="10" t="n"/>
      <c r="Y158" s="10" t="n"/>
      <c r="Z158" s="10" t="n"/>
      <c r="AA158" s="10" t="n"/>
      <c r="AB158" s="11">
        <f>IF(COUNTA(V158:AA158)=0,"",SUM(V158:AA158))</f>
        <v/>
      </c>
      <c r="AC158" s="11">
        <f>IF(U158="","",U158-IF(AB158="",0,AB158))</f>
        <v/>
      </c>
      <c r="AD158" s="12">
        <f>IF(AC158="","",IF(AC158&gt;0,"PROFIT",IF(AC158&lt;0,"LOSS","BREAKEVEN")))</f>
        <v/>
      </c>
      <c r="AE158" s="6" t="n"/>
      <c r="AF158" s="6" t="n"/>
      <c r="AG158" s="6" t="n"/>
      <c r="AH158" s="5" t="n"/>
    </row>
    <row r="159" ht="20" customHeight="1">
      <c r="A159" s="5" t="n"/>
      <c r="B159" s="6" t="n"/>
      <c r="C159" s="6" t="n"/>
      <c r="D159" s="7" t="n"/>
      <c r="E159" s="5" t="n"/>
      <c r="F159" s="6" t="n"/>
      <c r="G159" s="6" t="n"/>
      <c r="H159" s="6" t="n"/>
      <c r="I159" s="6" t="n"/>
      <c r="J159" s="5" t="n"/>
      <c r="K159" s="7" t="n"/>
      <c r="L159" s="6" t="n"/>
      <c r="M159" s="8" t="n"/>
      <c r="N159" s="8" t="n"/>
      <c r="O159" s="9">
        <f>IF(OR(M159="",N159="",N159=0),"",M159/N159)</f>
        <v/>
      </c>
      <c r="P159" s="10" t="n"/>
      <c r="Q159" s="10" t="n"/>
      <c r="R159" s="11">
        <f>IF(OR(M159="",P159=""),"",M159*P159)</f>
        <v/>
      </c>
      <c r="S159" s="11">
        <f>IF(OR(M159="",Q159=""),"",M159*Q159)</f>
        <v/>
      </c>
      <c r="T159" s="11">
        <f>IF(OR(R159="",S159=""),"",R159+S159)</f>
        <v/>
      </c>
      <c r="U159" s="11">
        <f>IF(OR(L159="",M159="",P159="",Q159=""),"",IF(UPPER(L159)="SHORT",(P159-Q159)*M159,(Q159-P159)*M159))</f>
        <v/>
      </c>
      <c r="V159" s="10" t="n"/>
      <c r="W159" s="10" t="n"/>
      <c r="X159" s="10" t="n"/>
      <c r="Y159" s="10" t="n"/>
      <c r="Z159" s="10" t="n"/>
      <c r="AA159" s="10" t="n"/>
      <c r="AB159" s="11">
        <f>IF(COUNTA(V159:AA159)=0,"",SUM(V159:AA159))</f>
        <v/>
      </c>
      <c r="AC159" s="11">
        <f>IF(U159="","",U159-IF(AB159="",0,AB159))</f>
        <v/>
      </c>
      <c r="AD159" s="12">
        <f>IF(AC159="","",IF(AC159&gt;0,"PROFIT",IF(AC159&lt;0,"LOSS","BREAKEVEN")))</f>
        <v/>
      </c>
      <c r="AE159" s="6" t="n"/>
      <c r="AF159" s="6" t="n"/>
      <c r="AG159" s="6" t="n"/>
      <c r="AH159" s="5" t="n"/>
    </row>
    <row r="160" ht="20" customHeight="1">
      <c r="A160" s="5" t="n"/>
      <c r="B160" s="6" t="n"/>
      <c r="C160" s="6" t="n"/>
      <c r="D160" s="7" t="n"/>
      <c r="E160" s="5" t="n"/>
      <c r="F160" s="6" t="n"/>
      <c r="G160" s="6" t="n"/>
      <c r="H160" s="6" t="n"/>
      <c r="I160" s="6" t="n"/>
      <c r="J160" s="5" t="n"/>
      <c r="K160" s="7" t="n"/>
      <c r="L160" s="6" t="n"/>
      <c r="M160" s="8" t="n"/>
      <c r="N160" s="8" t="n"/>
      <c r="O160" s="9">
        <f>IF(OR(M160="",N160="",N160=0),"",M160/N160)</f>
        <v/>
      </c>
      <c r="P160" s="10" t="n"/>
      <c r="Q160" s="10" t="n"/>
      <c r="R160" s="11">
        <f>IF(OR(M160="",P160=""),"",M160*P160)</f>
        <v/>
      </c>
      <c r="S160" s="11">
        <f>IF(OR(M160="",Q160=""),"",M160*Q160)</f>
        <v/>
      </c>
      <c r="T160" s="11">
        <f>IF(OR(R160="",S160=""),"",R160+S160)</f>
        <v/>
      </c>
      <c r="U160" s="11">
        <f>IF(OR(L160="",M160="",P160="",Q160=""),"",IF(UPPER(L160)="SHORT",(P160-Q160)*M160,(Q160-P160)*M160))</f>
        <v/>
      </c>
      <c r="V160" s="10" t="n"/>
      <c r="W160" s="10" t="n"/>
      <c r="X160" s="10" t="n"/>
      <c r="Y160" s="10" t="n"/>
      <c r="Z160" s="10" t="n"/>
      <c r="AA160" s="10" t="n"/>
      <c r="AB160" s="11">
        <f>IF(COUNTA(V160:AA160)=0,"",SUM(V160:AA160))</f>
        <v/>
      </c>
      <c r="AC160" s="11">
        <f>IF(U160="","",U160-IF(AB160="",0,AB160))</f>
        <v/>
      </c>
      <c r="AD160" s="12">
        <f>IF(AC160="","",IF(AC160&gt;0,"PROFIT",IF(AC160&lt;0,"LOSS","BREAKEVEN")))</f>
        <v/>
      </c>
      <c r="AE160" s="6" t="n"/>
      <c r="AF160" s="6" t="n"/>
      <c r="AG160" s="6" t="n"/>
      <c r="AH160" s="5" t="n"/>
    </row>
    <row r="161" ht="20" customHeight="1">
      <c r="A161" s="5" t="n"/>
      <c r="B161" s="6" t="n"/>
      <c r="C161" s="6" t="n"/>
      <c r="D161" s="7" t="n"/>
      <c r="E161" s="5" t="n"/>
      <c r="F161" s="6" t="n"/>
      <c r="G161" s="6" t="n"/>
      <c r="H161" s="6" t="n"/>
      <c r="I161" s="6" t="n"/>
      <c r="J161" s="5" t="n"/>
      <c r="K161" s="7" t="n"/>
      <c r="L161" s="6" t="n"/>
      <c r="M161" s="8" t="n"/>
      <c r="N161" s="8" t="n"/>
      <c r="O161" s="9">
        <f>IF(OR(M161="",N161="",N161=0),"",M161/N161)</f>
        <v/>
      </c>
      <c r="P161" s="10" t="n"/>
      <c r="Q161" s="10" t="n"/>
      <c r="R161" s="11">
        <f>IF(OR(M161="",P161=""),"",M161*P161)</f>
        <v/>
      </c>
      <c r="S161" s="11">
        <f>IF(OR(M161="",Q161=""),"",M161*Q161)</f>
        <v/>
      </c>
      <c r="T161" s="11">
        <f>IF(OR(R161="",S161=""),"",R161+S161)</f>
        <v/>
      </c>
      <c r="U161" s="11">
        <f>IF(OR(L161="",M161="",P161="",Q161=""),"",IF(UPPER(L161)="SHORT",(P161-Q161)*M161,(Q161-P161)*M161))</f>
        <v/>
      </c>
      <c r="V161" s="10" t="n"/>
      <c r="W161" s="10" t="n"/>
      <c r="X161" s="10" t="n"/>
      <c r="Y161" s="10" t="n"/>
      <c r="Z161" s="10" t="n"/>
      <c r="AA161" s="10" t="n"/>
      <c r="AB161" s="11">
        <f>IF(COUNTA(V161:AA161)=0,"",SUM(V161:AA161))</f>
        <v/>
      </c>
      <c r="AC161" s="11">
        <f>IF(U161="","",U161-IF(AB161="",0,AB161))</f>
        <v/>
      </c>
      <c r="AD161" s="12">
        <f>IF(AC161="","",IF(AC161&gt;0,"PROFIT",IF(AC161&lt;0,"LOSS","BREAKEVEN")))</f>
        <v/>
      </c>
      <c r="AE161" s="6" t="n"/>
      <c r="AF161" s="6" t="n"/>
      <c r="AG161" s="6" t="n"/>
      <c r="AH161" s="5" t="n"/>
    </row>
    <row r="162" ht="20" customHeight="1">
      <c r="A162" s="5" t="n"/>
      <c r="B162" s="6" t="n"/>
      <c r="C162" s="6" t="n"/>
      <c r="D162" s="7" t="n"/>
      <c r="E162" s="5" t="n"/>
      <c r="F162" s="6" t="n"/>
      <c r="G162" s="6" t="n"/>
      <c r="H162" s="6" t="n"/>
      <c r="I162" s="6" t="n"/>
      <c r="J162" s="5" t="n"/>
      <c r="K162" s="7" t="n"/>
      <c r="L162" s="6" t="n"/>
      <c r="M162" s="8" t="n"/>
      <c r="N162" s="8" t="n"/>
      <c r="O162" s="9">
        <f>IF(OR(M162="",N162="",N162=0),"",M162/N162)</f>
        <v/>
      </c>
      <c r="P162" s="10" t="n"/>
      <c r="Q162" s="10" t="n"/>
      <c r="R162" s="11">
        <f>IF(OR(M162="",P162=""),"",M162*P162)</f>
        <v/>
      </c>
      <c r="S162" s="11">
        <f>IF(OR(M162="",Q162=""),"",M162*Q162)</f>
        <v/>
      </c>
      <c r="T162" s="11">
        <f>IF(OR(R162="",S162=""),"",R162+S162)</f>
        <v/>
      </c>
      <c r="U162" s="11">
        <f>IF(OR(L162="",M162="",P162="",Q162=""),"",IF(UPPER(L162)="SHORT",(P162-Q162)*M162,(Q162-P162)*M162))</f>
        <v/>
      </c>
      <c r="V162" s="10" t="n"/>
      <c r="W162" s="10" t="n"/>
      <c r="X162" s="10" t="n"/>
      <c r="Y162" s="10" t="n"/>
      <c r="Z162" s="10" t="n"/>
      <c r="AA162" s="10" t="n"/>
      <c r="AB162" s="11">
        <f>IF(COUNTA(V162:AA162)=0,"",SUM(V162:AA162))</f>
        <v/>
      </c>
      <c r="AC162" s="11">
        <f>IF(U162="","",U162-IF(AB162="",0,AB162))</f>
        <v/>
      </c>
      <c r="AD162" s="12">
        <f>IF(AC162="","",IF(AC162&gt;0,"PROFIT",IF(AC162&lt;0,"LOSS","BREAKEVEN")))</f>
        <v/>
      </c>
      <c r="AE162" s="6" t="n"/>
      <c r="AF162" s="6" t="n"/>
      <c r="AG162" s="6" t="n"/>
      <c r="AH162" s="5" t="n"/>
    </row>
    <row r="163" ht="20" customHeight="1">
      <c r="A163" s="5" t="n"/>
      <c r="B163" s="6" t="n"/>
      <c r="C163" s="6" t="n"/>
      <c r="D163" s="7" t="n"/>
      <c r="E163" s="5" t="n"/>
      <c r="F163" s="6" t="n"/>
      <c r="G163" s="6" t="n"/>
      <c r="H163" s="6" t="n"/>
      <c r="I163" s="6" t="n"/>
      <c r="J163" s="5" t="n"/>
      <c r="K163" s="7" t="n"/>
      <c r="L163" s="6" t="n"/>
      <c r="M163" s="8" t="n"/>
      <c r="N163" s="8" t="n"/>
      <c r="O163" s="9">
        <f>IF(OR(M163="",N163="",N163=0),"",M163/N163)</f>
        <v/>
      </c>
      <c r="P163" s="10" t="n"/>
      <c r="Q163" s="10" t="n"/>
      <c r="R163" s="11">
        <f>IF(OR(M163="",P163=""),"",M163*P163)</f>
        <v/>
      </c>
      <c r="S163" s="11">
        <f>IF(OR(M163="",Q163=""),"",M163*Q163)</f>
        <v/>
      </c>
      <c r="T163" s="11">
        <f>IF(OR(R163="",S163=""),"",R163+S163)</f>
        <v/>
      </c>
      <c r="U163" s="11">
        <f>IF(OR(L163="",M163="",P163="",Q163=""),"",IF(UPPER(L163)="SHORT",(P163-Q163)*M163,(Q163-P163)*M163))</f>
        <v/>
      </c>
      <c r="V163" s="10" t="n"/>
      <c r="W163" s="10" t="n"/>
      <c r="X163" s="10" t="n"/>
      <c r="Y163" s="10" t="n"/>
      <c r="Z163" s="10" t="n"/>
      <c r="AA163" s="10" t="n"/>
      <c r="AB163" s="11">
        <f>IF(COUNTA(V163:AA163)=0,"",SUM(V163:AA163))</f>
        <v/>
      </c>
      <c r="AC163" s="11">
        <f>IF(U163="","",U163-IF(AB163="",0,AB163))</f>
        <v/>
      </c>
      <c r="AD163" s="12">
        <f>IF(AC163="","",IF(AC163&gt;0,"PROFIT",IF(AC163&lt;0,"LOSS","BREAKEVEN")))</f>
        <v/>
      </c>
      <c r="AE163" s="6" t="n"/>
      <c r="AF163" s="6" t="n"/>
      <c r="AG163" s="6" t="n"/>
      <c r="AH163" s="5" t="n"/>
    </row>
    <row r="164" ht="20" customHeight="1">
      <c r="A164" s="5" t="n"/>
      <c r="B164" s="6" t="n"/>
      <c r="C164" s="6" t="n"/>
      <c r="D164" s="7" t="n"/>
      <c r="E164" s="5" t="n"/>
      <c r="F164" s="6" t="n"/>
      <c r="G164" s="6" t="n"/>
      <c r="H164" s="6" t="n"/>
      <c r="I164" s="6" t="n"/>
      <c r="J164" s="5" t="n"/>
      <c r="K164" s="7" t="n"/>
      <c r="L164" s="6" t="n"/>
      <c r="M164" s="8" t="n"/>
      <c r="N164" s="8" t="n"/>
      <c r="O164" s="9">
        <f>IF(OR(M164="",N164="",N164=0),"",M164/N164)</f>
        <v/>
      </c>
      <c r="P164" s="10" t="n"/>
      <c r="Q164" s="10" t="n"/>
      <c r="R164" s="11">
        <f>IF(OR(M164="",P164=""),"",M164*P164)</f>
        <v/>
      </c>
      <c r="S164" s="11">
        <f>IF(OR(M164="",Q164=""),"",M164*Q164)</f>
        <v/>
      </c>
      <c r="T164" s="11">
        <f>IF(OR(R164="",S164=""),"",R164+S164)</f>
        <v/>
      </c>
      <c r="U164" s="11">
        <f>IF(OR(L164="",M164="",P164="",Q164=""),"",IF(UPPER(L164)="SHORT",(P164-Q164)*M164,(Q164-P164)*M164))</f>
        <v/>
      </c>
      <c r="V164" s="10" t="n"/>
      <c r="W164" s="10" t="n"/>
      <c r="X164" s="10" t="n"/>
      <c r="Y164" s="10" t="n"/>
      <c r="Z164" s="10" t="n"/>
      <c r="AA164" s="10" t="n"/>
      <c r="AB164" s="11">
        <f>IF(COUNTA(V164:AA164)=0,"",SUM(V164:AA164))</f>
        <v/>
      </c>
      <c r="AC164" s="11">
        <f>IF(U164="","",U164-IF(AB164="",0,AB164))</f>
        <v/>
      </c>
      <c r="AD164" s="12">
        <f>IF(AC164="","",IF(AC164&gt;0,"PROFIT",IF(AC164&lt;0,"LOSS","BREAKEVEN")))</f>
        <v/>
      </c>
      <c r="AE164" s="6" t="n"/>
      <c r="AF164" s="6" t="n"/>
      <c r="AG164" s="6" t="n"/>
      <c r="AH164" s="5" t="n"/>
    </row>
    <row r="165" ht="20" customHeight="1">
      <c r="A165" s="5" t="n"/>
      <c r="B165" s="6" t="n"/>
      <c r="C165" s="6" t="n"/>
      <c r="D165" s="7" t="n"/>
      <c r="E165" s="5" t="n"/>
      <c r="F165" s="6" t="n"/>
      <c r="G165" s="6" t="n"/>
      <c r="H165" s="6" t="n"/>
      <c r="I165" s="6" t="n"/>
      <c r="J165" s="5" t="n"/>
      <c r="K165" s="7" t="n"/>
      <c r="L165" s="6" t="n"/>
      <c r="M165" s="8" t="n"/>
      <c r="N165" s="8" t="n"/>
      <c r="O165" s="9">
        <f>IF(OR(M165="",N165="",N165=0),"",M165/N165)</f>
        <v/>
      </c>
      <c r="P165" s="10" t="n"/>
      <c r="Q165" s="10" t="n"/>
      <c r="R165" s="11">
        <f>IF(OR(M165="",P165=""),"",M165*P165)</f>
        <v/>
      </c>
      <c r="S165" s="11">
        <f>IF(OR(M165="",Q165=""),"",M165*Q165)</f>
        <v/>
      </c>
      <c r="T165" s="11">
        <f>IF(OR(R165="",S165=""),"",R165+S165)</f>
        <v/>
      </c>
      <c r="U165" s="11">
        <f>IF(OR(L165="",M165="",P165="",Q165=""),"",IF(UPPER(L165)="SHORT",(P165-Q165)*M165,(Q165-P165)*M165))</f>
        <v/>
      </c>
      <c r="V165" s="10" t="n"/>
      <c r="W165" s="10" t="n"/>
      <c r="X165" s="10" t="n"/>
      <c r="Y165" s="10" t="n"/>
      <c r="Z165" s="10" t="n"/>
      <c r="AA165" s="10" t="n"/>
      <c r="AB165" s="11">
        <f>IF(COUNTA(V165:AA165)=0,"",SUM(V165:AA165))</f>
        <v/>
      </c>
      <c r="AC165" s="11">
        <f>IF(U165="","",U165-IF(AB165="",0,AB165))</f>
        <v/>
      </c>
      <c r="AD165" s="12">
        <f>IF(AC165="","",IF(AC165&gt;0,"PROFIT",IF(AC165&lt;0,"LOSS","BREAKEVEN")))</f>
        <v/>
      </c>
      <c r="AE165" s="6" t="n"/>
      <c r="AF165" s="6" t="n"/>
      <c r="AG165" s="6" t="n"/>
      <c r="AH165" s="5" t="n"/>
    </row>
    <row r="166" ht="20" customHeight="1">
      <c r="A166" s="5" t="n"/>
      <c r="B166" s="6" t="n"/>
      <c r="C166" s="6" t="n"/>
      <c r="D166" s="7" t="n"/>
      <c r="E166" s="5" t="n"/>
      <c r="F166" s="6" t="n"/>
      <c r="G166" s="6" t="n"/>
      <c r="H166" s="6" t="n"/>
      <c r="I166" s="6" t="n"/>
      <c r="J166" s="5" t="n"/>
      <c r="K166" s="7" t="n"/>
      <c r="L166" s="6" t="n"/>
      <c r="M166" s="8" t="n"/>
      <c r="N166" s="8" t="n"/>
      <c r="O166" s="9">
        <f>IF(OR(M166="",N166="",N166=0),"",M166/N166)</f>
        <v/>
      </c>
      <c r="P166" s="10" t="n"/>
      <c r="Q166" s="10" t="n"/>
      <c r="R166" s="11">
        <f>IF(OR(M166="",P166=""),"",M166*P166)</f>
        <v/>
      </c>
      <c r="S166" s="11">
        <f>IF(OR(M166="",Q166=""),"",M166*Q166)</f>
        <v/>
      </c>
      <c r="T166" s="11">
        <f>IF(OR(R166="",S166=""),"",R166+S166)</f>
        <v/>
      </c>
      <c r="U166" s="11">
        <f>IF(OR(L166="",M166="",P166="",Q166=""),"",IF(UPPER(L166)="SHORT",(P166-Q166)*M166,(Q166-P166)*M166))</f>
        <v/>
      </c>
      <c r="V166" s="10" t="n"/>
      <c r="W166" s="10" t="n"/>
      <c r="X166" s="10" t="n"/>
      <c r="Y166" s="10" t="n"/>
      <c r="Z166" s="10" t="n"/>
      <c r="AA166" s="10" t="n"/>
      <c r="AB166" s="11">
        <f>IF(COUNTA(V166:AA166)=0,"",SUM(V166:AA166))</f>
        <v/>
      </c>
      <c r="AC166" s="11">
        <f>IF(U166="","",U166-IF(AB166="",0,AB166))</f>
        <v/>
      </c>
      <c r="AD166" s="12">
        <f>IF(AC166="","",IF(AC166&gt;0,"PROFIT",IF(AC166&lt;0,"LOSS","BREAKEVEN")))</f>
        <v/>
      </c>
      <c r="AE166" s="6" t="n"/>
      <c r="AF166" s="6" t="n"/>
      <c r="AG166" s="6" t="n"/>
      <c r="AH166" s="5" t="n"/>
    </row>
    <row r="167" ht="20" customHeight="1">
      <c r="A167" s="5" t="n"/>
      <c r="B167" s="6" t="n"/>
      <c r="C167" s="6" t="n"/>
      <c r="D167" s="7" t="n"/>
      <c r="E167" s="5" t="n"/>
      <c r="F167" s="6" t="n"/>
      <c r="G167" s="6" t="n"/>
      <c r="H167" s="6" t="n"/>
      <c r="I167" s="6" t="n"/>
      <c r="J167" s="5" t="n"/>
      <c r="K167" s="7" t="n"/>
      <c r="L167" s="6" t="n"/>
      <c r="M167" s="8" t="n"/>
      <c r="N167" s="8" t="n"/>
      <c r="O167" s="9">
        <f>IF(OR(M167="",N167="",N167=0),"",M167/N167)</f>
        <v/>
      </c>
      <c r="P167" s="10" t="n"/>
      <c r="Q167" s="10" t="n"/>
      <c r="R167" s="11">
        <f>IF(OR(M167="",P167=""),"",M167*P167)</f>
        <v/>
      </c>
      <c r="S167" s="11">
        <f>IF(OR(M167="",Q167=""),"",M167*Q167)</f>
        <v/>
      </c>
      <c r="T167" s="11">
        <f>IF(OR(R167="",S167=""),"",R167+S167)</f>
        <v/>
      </c>
      <c r="U167" s="11">
        <f>IF(OR(L167="",M167="",P167="",Q167=""),"",IF(UPPER(L167)="SHORT",(P167-Q167)*M167,(Q167-P167)*M167))</f>
        <v/>
      </c>
      <c r="V167" s="10" t="n"/>
      <c r="W167" s="10" t="n"/>
      <c r="X167" s="10" t="n"/>
      <c r="Y167" s="10" t="n"/>
      <c r="Z167" s="10" t="n"/>
      <c r="AA167" s="10" t="n"/>
      <c r="AB167" s="11">
        <f>IF(COUNTA(V167:AA167)=0,"",SUM(V167:AA167))</f>
        <v/>
      </c>
      <c r="AC167" s="11">
        <f>IF(U167="","",U167-IF(AB167="",0,AB167))</f>
        <v/>
      </c>
      <c r="AD167" s="12">
        <f>IF(AC167="","",IF(AC167&gt;0,"PROFIT",IF(AC167&lt;0,"LOSS","BREAKEVEN")))</f>
        <v/>
      </c>
      <c r="AE167" s="6" t="n"/>
      <c r="AF167" s="6" t="n"/>
      <c r="AG167" s="6" t="n"/>
      <c r="AH167" s="5" t="n"/>
    </row>
    <row r="168" ht="20" customHeight="1">
      <c r="A168" s="5" t="n"/>
      <c r="B168" s="6" t="n"/>
      <c r="C168" s="6" t="n"/>
      <c r="D168" s="7" t="n"/>
      <c r="E168" s="5" t="n"/>
      <c r="F168" s="6" t="n"/>
      <c r="G168" s="6" t="n"/>
      <c r="H168" s="6" t="n"/>
      <c r="I168" s="6" t="n"/>
      <c r="J168" s="5" t="n"/>
      <c r="K168" s="7" t="n"/>
      <c r="L168" s="6" t="n"/>
      <c r="M168" s="8" t="n"/>
      <c r="N168" s="8" t="n"/>
      <c r="O168" s="9">
        <f>IF(OR(M168="",N168="",N168=0),"",M168/N168)</f>
        <v/>
      </c>
      <c r="P168" s="10" t="n"/>
      <c r="Q168" s="10" t="n"/>
      <c r="R168" s="11">
        <f>IF(OR(M168="",P168=""),"",M168*P168)</f>
        <v/>
      </c>
      <c r="S168" s="11">
        <f>IF(OR(M168="",Q168=""),"",M168*Q168)</f>
        <v/>
      </c>
      <c r="T168" s="11">
        <f>IF(OR(R168="",S168=""),"",R168+S168)</f>
        <v/>
      </c>
      <c r="U168" s="11">
        <f>IF(OR(L168="",M168="",P168="",Q168=""),"",IF(UPPER(L168)="SHORT",(P168-Q168)*M168,(Q168-P168)*M168))</f>
        <v/>
      </c>
      <c r="V168" s="10" t="n"/>
      <c r="W168" s="10" t="n"/>
      <c r="X168" s="10" t="n"/>
      <c r="Y168" s="10" t="n"/>
      <c r="Z168" s="10" t="n"/>
      <c r="AA168" s="10" t="n"/>
      <c r="AB168" s="11">
        <f>IF(COUNTA(V168:AA168)=0,"",SUM(V168:AA168))</f>
        <v/>
      </c>
      <c r="AC168" s="11">
        <f>IF(U168="","",U168-IF(AB168="",0,AB168))</f>
        <v/>
      </c>
      <c r="AD168" s="12">
        <f>IF(AC168="","",IF(AC168&gt;0,"PROFIT",IF(AC168&lt;0,"LOSS","BREAKEVEN")))</f>
        <v/>
      </c>
      <c r="AE168" s="6" t="n"/>
      <c r="AF168" s="6" t="n"/>
      <c r="AG168" s="6" t="n"/>
      <c r="AH168" s="5" t="n"/>
    </row>
    <row r="169" ht="20" customHeight="1">
      <c r="A169" s="5" t="n"/>
      <c r="B169" s="6" t="n"/>
      <c r="C169" s="6" t="n"/>
      <c r="D169" s="7" t="n"/>
      <c r="E169" s="5" t="n"/>
      <c r="F169" s="6" t="n"/>
      <c r="G169" s="6" t="n"/>
      <c r="H169" s="6" t="n"/>
      <c r="I169" s="6" t="n"/>
      <c r="J169" s="5" t="n"/>
      <c r="K169" s="7" t="n"/>
      <c r="L169" s="6" t="n"/>
      <c r="M169" s="8" t="n"/>
      <c r="N169" s="8" t="n"/>
      <c r="O169" s="9">
        <f>IF(OR(M169="",N169="",N169=0),"",M169/N169)</f>
        <v/>
      </c>
      <c r="P169" s="10" t="n"/>
      <c r="Q169" s="10" t="n"/>
      <c r="R169" s="11">
        <f>IF(OR(M169="",P169=""),"",M169*P169)</f>
        <v/>
      </c>
      <c r="S169" s="11">
        <f>IF(OR(M169="",Q169=""),"",M169*Q169)</f>
        <v/>
      </c>
      <c r="T169" s="11">
        <f>IF(OR(R169="",S169=""),"",R169+S169)</f>
        <v/>
      </c>
      <c r="U169" s="11">
        <f>IF(OR(L169="",M169="",P169="",Q169=""),"",IF(UPPER(L169)="SHORT",(P169-Q169)*M169,(Q169-P169)*M169))</f>
        <v/>
      </c>
      <c r="V169" s="10" t="n"/>
      <c r="W169" s="10" t="n"/>
      <c r="X169" s="10" t="n"/>
      <c r="Y169" s="10" t="n"/>
      <c r="Z169" s="10" t="n"/>
      <c r="AA169" s="10" t="n"/>
      <c r="AB169" s="11">
        <f>IF(COUNTA(V169:AA169)=0,"",SUM(V169:AA169))</f>
        <v/>
      </c>
      <c r="AC169" s="11">
        <f>IF(U169="","",U169-IF(AB169="",0,AB169))</f>
        <v/>
      </c>
      <c r="AD169" s="12">
        <f>IF(AC169="","",IF(AC169&gt;0,"PROFIT",IF(AC169&lt;0,"LOSS","BREAKEVEN")))</f>
        <v/>
      </c>
      <c r="AE169" s="6" t="n"/>
      <c r="AF169" s="6" t="n"/>
      <c r="AG169" s="6" t="n"/>
      <c r="AH169" s="5" t="n"/>
    </row>
    <row r="170" ht="20" customHeight="1">
      <c r="A170" s="5" t="n"/>
      <c r="B170" s="6" t="n"/>
      <c r="C170" s="6" t="n"/>
      <c r="D170" s="7" t="n"/>
      <c r="E170" s="5" t="n"/>
      <c r="F170" s="6" t="n"/>
      <c r="G170" s="6" t="n"/>
      <c r="H170" s="6" t="n"/>
      <c r="I170" s="6" t="n"/>
      <c r="J170" s="5" t="n"/>
      <c r="K170" s="7" t="n"/>
      <c r="L170" s="6" t="n"/>
      <c r="M170" s="8" t="n"/>
      <c r="N170" s="8" t="n"/>
      <c r="O170" s="9">
        <f>IF(OR(M170="",N170="",N170=0),"",M170/N170)</f>
        <v/>
      </c>
      <c r="P170" s="10" t="n"/>
      <c r="Q170" s="10" t="n"/>
      <c r="R170" s="11">
        <f>IF(OR(M170="",P170=""),"",M170*P170)</f>
        <v/>
      </c>
      <c r="S170" s="11">
        <f>IF(OR(M170="",Q170=""),"",M170*Q170)</f>
        <v/>
      </c>
      <c r="T170" s="11">
        <f>IF(OR(R170="",S170=""),"",R170+S170)</f>
        <v/>
      </c>
      <c r="U170" s="11">
        <f>IF(OR(L170="",M170="",P170="",Q170=""),"",IF(UPPER(L170)="SHORT",(P170-Q170)*M170,(Q170-P170)*M170))</f>
        <v/>
      </c>
      <c r="V170" s="10" t="n"/>
      <c r="W170" s="10" t="n"/>
      <c r="X170" s="10" t="n"/>
      <c r="Y170" s="10" t="n"/>
      <c r="Z170" s="10" t="n"/>
      <c r="AA170" s="10" t="n"/>
      <c r="AB170" s="11">
        <f>IF(COUNTA(V170:AA170)=0,"",SUM(V170:AA170))</f>
        <v/>
      </c>
      <c r="AC170" s="11">
        <f>IF(U170="","",U170-IF(AB170="",0,AB170))</f>
        <v/>
      </c>
      <c r="AD170" s="12">
        <f>IF(AC170="","",IF(AC170&gt;0,"PROFIT",IF(AC170&lt;0,"LOSS","BREAKEVEN")))</f>
        <v/>
      </c>
      <c r="AE170" s="6" t="n"/>
      <c r="AF170" s="6" t="n"/>
      <c r="AG170" s="6" t="n"/>
      <c r="AH170" s="5" t="n"/>
    </row>
    <row r="171" ht="20" customHeight="1">
      <c r="A171" s="5" t="n"/>
      <c r="B171" s="6" t="n"/>
      <c r="C171" s="6" t="n"/>
      <c r="D171" s="7" t="n"/>
      <c r="E171" s="5" t="n"/>
      <c r="F171" s="6" t="n"/>
      <c r="G171" s="6" t="n"/>
      <c r="H171" s="6" t="n"/>
      <c r="I171" s="6" t="n"/>
      <c r="J171" s="5" t="n"/>
      <c r="K171" s="7" t="n"/>
      <c r="L171" s="6" t="n"/>
      <c r="M171" s="8" t="n"/>
      <c r="N171" s="8" t="n"/>
      <c r="O171" s="9">
        <f>IF(OR(M171="",N171="",N171=0),"",M171/N171)</f>
        <v/>
      </c>
      <c r="P171" s="10" t="n"/>
      <c r="Q171" s="10" t="n"/>
      <c r="R171" s="11">
        <f>IF(OR(M171="",P171=""),"",M171*P171)</f>
        <v/>
      </c>
      <c r="S171" s="11">
        <f>IF(OR(M171="",Q171=""),"",M171*Q171)</f>
        <v/>
      </c>
      <c r="T171" s="11">
        <f>IF(OR(R171="",S171=""),"",R171+S171)</f>
        <v/>
      </c>
      <c r="U171" s="11">
        <f>IF(OR(L171="",M171="",P171="",Q171=""),"",IF(UPPER(L171)="SHORT",(P171-Q171)*M171,(Q171-P171)*M171))</f>
        <v/>
      </c>
      <c r="V171" s="10" t="n"/>
      <c r="W171" s="10" t="n"/>
      <c r="X171" s="10" t="n"/>
      <c r="Y171" s="10" t="n"/>
      <c r="Z171" s="10" t="n"/>
      <c r="AA171" s="10" t="n"/>
      <c r="AB171" s="11">
        <f>IF(COUNTA(V171:AA171)=0,"",SUM(V171:AA171))</f>
        <v/>
      </c>
      <c r="AC171" s="11">
        <f>IF(U171="","",U171-IF(AB171="",0,AB171))</f>
        <v/>
      </c>
      <c r="AD171" s="12">
        <f>IF(AC171="","",IF(AC171&gt;0,"PROFIT",IF(AC171&lt;0,"LOSS","BREAKEVEN")))</f>
        <v/>
      </c>
      <c r="AE171" s="6" t="n"/>
      <c r="AF171" s="6" t="n"/>
      <c r="AG171" s="6" t="n"/>
      <c r="AH171" s="5" t="n"/>
    </row>
    <row r="172" ht="20" customHeight="1">
      <c r="A172" s="5" t="n"/>
      <c r="B172" s="6" t="n"/>
      <c r="C172" s="6" t="n"/>
      <c r="D172" s="7" t="n"/>
      <c r="E172" s="5" t="n"/>
      <c r="F172" s="6" t="n"/>
      <c r="G172" s="6" t="n"/>
      <c r="H172" s="6" t="n"/>
      <c r="I172" s="6" t="n"/>
      <c r="J172" s="5" t="n"/>
      <c r="K172" s="7" t="n"/>
      <c r="L172" s="6" t="n"/>
      <c r="M172" s="8" t="n"/>
      <c r="N172" s="8" t="n"/>
      <c r="O172" s="9">
        <f>IF(OR(M172="",N172="",N172=0),"",M172/N172)</f>
        <v/>
      </c>
      <c r="P172" s="10" t="n"/>
      <c r="Q172" s="10" t="n"/>
      <c r="R172" s="11">
        <f>IF(OR(M172="",P172=""),"",M172*P172)</f>
        <v/>
      </c>
      <c r="S172" s="11">
        <f>IF(OR(M172="",Q172=""),"",M172*Q172)</f>
        <v/>
      </c>
      <c r="T172" s="11">
        <f>IF(OR(R172="",S172=""),"",R172+S172)</f>
        <v/>
      </c>
      <c r="U172" s="11">
        <f>IF(OR(L172="",M172="",P172="",Q172=""),"",IF(UPPER(L172)="SHORT",(P172-Q172)*M172,(Q172-P172)*M172))</f>
        <v/>
      </c>
      <c r="V172" s="10" t="n"/>
      <c r="W172" s="10" t="n"/>
      <c r="X172" s="10" t="n"/>
      <c r="Y172" s="10" t="n"/>
      <c r="Z172" s="10" t="n"/>
      <c r="AA172" s="10" t="n"/>
      <c r="AB172" s="11">
        <f>IF(COUNTA(V172:AA172)=0,"",SUM(V172:AA172))</f>
        <v/>
      </c>
      <c r="AC172" s="11">
        <f>IF(U172="","",U172-IF(AB172="",0,AB172))</f>
        <v/>
      </c>
      <c r="AD172" s="12">
        <f>IF(AC172="","",IF(AC172&gt;0,"PROFIT",IF(AC172&lt;0,"LOSS","BREAKEVEN")))</f>
        <v/>
      </c>
      <c r="AE172" s="6" t="n"/>
      <c r="AF172" s="6" t="n"/>
      <c r="AG172" s="6" t="n"/>
      <c r="AH172" s="5" t="n"/>
    </row>
    <row r="173" ht="20" customHeight="1">
      <c r="A173" s="5" t="n"/>
      <c r="B173" s="6" t="n"/>
      <c r="C173" s="6" t="n"/>
      <c r="D173" s="7" t="n"/>
      <c r="E173" s="5" t="n"/>
      <c r="F173" s="6" t="n"/>
      <c r="G173" s="6" t="n"/>
      <c r="H173" s="6" t="n"/>
      <c r="I173" s="6" t="n"/>
      <c r="J173" s="5" t="n"/>
      <c r="K173" s="7" t="n"/>
      <c r="L173" s="6" t="n"/>
      <c r="M173" s="8" t="n"/>
      <c r="N173" s="8" t="n"/>
      <c r="O173" s="9">
        <f>IF(OR(M173="",N173="",N173=0),"",M173/N173)</f>
        <v/>
      </c>
      <c r="P173" s="10" t="n"/>
      <c r="Q173" s="10" t="n"/>
      <c r="R173" s="11">
        <f>IF(OR(M173="",P173=""),"",M173*P173)</f>
        <v/>
      </c>
      <c r="S173" s="11">
        <f>IF(OR(M173="",Q173=""),"",M173*Q173)</f>
        <v/>
      </c>
      <c r="T173" s="11">
        <f>IF(OR(R173="",S173=""),"",R173+S173)</f>
        <v/>
      </c>
      <c r="U173" s="11">
        <f>IF(OR(L173="",M173="",P173="",Q173=""),"",IF(UPPER(L173)="SHORT",(P173-Q173)*M173,(Q173-P173)*M173))</f>
        <v/>
      </c>
      <c r="V173" s="10" t="n"/>
      <c r="W173" s="10" t="n"/>
      <c r="X173" s="10" t="n"/>
      <c r="Y173" s="10" t="n"/>
      <c r="Z173" s="10" t="n"/>
      <c r="AA173" s="10" t="n"/>
      <c r="AB173" s="11">
        <f>IF(COUNTA(V173:AA173)=0,"",SUM(V173:AA173))</f>
        <v/>
      </c>
      <c r="AC173" s="11">
        <f>IF(U173="","",U173-IF(AB173="",0,AB173))</f>
        <v/>
      </c>
      <c r="AD173" s="12">
        <f>IF(AC173="","",IF(AC173&gt;0,"PROFIT",IF(AC173&lt;0,"LOSS","BREAKEVEN")))</f>
        <v/>
      </c>
      <c r="AE173" s="6" t="n"/>
      <c r="AF173" s="6" t="n"/>
      <c r="AG173" s="6" t="n"/>
      <c r="AH173" s="5" t="n"/>
    </row>
    <row r="174" ht="20" customHeight="1">
      <c r="A174" s="5" t="n"/>
      <c r="B174" s="6" t="n"/>
      <c r="C174" s="6" t="n"/>
      <c r="D174" s="7" t="n"/>
      <c r="E174" s="5" t="n"/>
      <c r="F174" s="6" t="n"/>
      <c r="G174" s="6" t="n"/>
      <c r="H174" s="6" t="n"/>
      <c r="I174" s="6" t="n"/>
      <c r="J174" s="5" t="n"/>
      <c r="K174" s="7" t="n"/>
      <c r="L174" s="6" t="n"/>
      <c r="M174" s="8" t="n"/>
      <c r="N174" s="8" t="n"/>
      <c r="O174" s="9">
        <f>IF(OR(M174="",N174="",N174=0),"",M174/N174)</f>
        <v/>
      </c>
      <c r="P174" s="10" t="n"/>
      <c r="Q174" s="10" t="n"/>
      <c r="R174" s="11">
        <f>IF(OR(M174="",P174=""),"",M174*P174)</f>
        <v/>
      </c>
      <c r="S174" s="11">
        <f>IF(OR(M174="",Q174=""),"",M174*Q174)</f>
        <v/>
      </c>
      <c r="T174" s="11">
        <f>IF(OR(R174="",S174=""),"",R174+S174)</f>
        <v/>
      </c>
      <c r="U174" s="11">
        <f>IF(OR(L174="",M174="",P174="",Q174=""),"",IF(UPPER(L174)="SHORT",(P174-Q174)*M174,(Q174-P174)*M174))</f>
        <v/>
      </c>
      <c r="V174" s="10" t="n"/>
      <c r="W174" s="10" t="n"/>
      <c r="X174" s="10" t="n"/>
      <c r="Y174" s="10" t="n"/>
      <c r="Z174" s="10" t="n"/>
      <c r="AA174" s="10" t="n"/>
      <c r="AB174" s="11">
        <f>IF(COUNTA(V174:AA174)=0,"",SUM(V174:AA174))</f>
        <v/>
      </c>
      <c r="AC174" s="11">
        <f>IF(U174="","",U174-IF(AB174="",0,AB174))</f>
        <v/>
      </c>
      <c r="AD174" s="12">
        <f>IF(AC174="","",IF(AC174&gt;0,"PROFIT",IF(AC174&lt;0,"LOSS","BREAKEVEN")))</f>
        <v/>
      </c>
      <c r="AE174" s="6" t="n"/>
      <c r="AF174" s="6" t="n"/>
      <c r="AG174" s="6" t="n"/>
      <c r="AH174" s="5" t="n"/>
    </row>
    <row r="175" ht="20" customHeight="1">
      <c r="A175" s="5" t="n"/>
      <c r="B175" s="6" t="n"/>
      <c r="C175" s="6" t="n"/>
      <c r="D175" s="7" t="n"/>
      <c r="E175" s="5" t="n"/>
      <c r="F175" s="6" t="n"/>
      <c r="G175" s="6" t="n"/>
      <c r="H175" s="6" t="n"/>
      <c r="I175" s="6" t="n"/>
      <c r="J175" s="5" t="n"/>
      <c r="K175" s="7" t="n"/>
      <c r="L175" s="6" t="n"/>
      <c r="M175" s="8" t="n"/>
      <c r="N175" s="8" t="n"/>
      <c r="O175" s="9">
        <f>IF(OR(M175="",N175="",N175=0),"",M175/N175)</f>
        <v/>
      </c>
      <c r="P175" s="10" t="n"/>
      <c r="Q175" s="10" t="n"/>
      <c r="R175" s="11">
        <f>IF(OR(M175="",P175=""),"",M175*P175)</f>
        <v/>
      </c>
      <c r="S175" s="11">
        <f>IF(OR(M175="",Q175=""),"",M175*Q175)</f>
        <v/>
      </c>
      <c r="T175" s="11">
        <f>IF(OR(R175="",S175=""),"",R175+S175)</f>
        <v/>
      </c>
      <c r="U175" s="11">
        <f>IF(OR(L175="",M175="",P175="",Q175=""),"",IF(UPPER(L175)="SHORT",(P175-Q175)*M175,(Q175-P175)*M175))</f>
        <v/>
      </c>
      <c r="V175" s="10" t="n"/>
      <c r="W175" s="10" t="n"/>
      <c r="X175" s="10" t="n"/>
      <c r="Y175" s="10" t="n"/>
      <c r="Z175" s="10" t="n"/>
      <c r="AA175" s="10" t="n"/>
      <c r="AB175" s="11">
        <f>IF(COUNTA(V175:AA175)=0,"",SUM(V175:AA175))</f>
        <v/>
      </c>
      <c r="AC175" s="11">
        <f>IF(U175="","",U175-IF(AB175="",0,AB175))</f>
        <v/>
      </c>
      <c r="AD175" s="12">
        <f>IF(AC175="","",IF(AC175&gt;0,"PROFIT",IF(AC175&lt;0,"LOSS","BREAKEVEN")))</f>
        <v/>
      </c>
      <c r="AE175" s="6" t="n"/>
      <c r="AF175" s="6" t="n"/>
      <c r="AG175" s="6" t="n"/>
      <c r="AH175" s="5" t="n"/>
    </row>
    <row r="176" ht="20" customHeight="1">
      <c r="A176" s="5" t="n"/>
      <c r="B176" s="6" t="n"/>
      <c r="C176" s="6" t="n"/>
      <c r="D176" s="7" t="n"/>
      <c r="E176" s="5" t="n"/>
      <c r="F176" s="6" t="n"/>
      <c r="G176" s="6" t="n"/>
      <c r="H176" s="6" t="n"/>
      <c r="I176" s="6" t="n"/>
      <c r="J176" s="5" t="n"/>
      <c r="K176" s="7" t="n"/>
      <c r="L176" s="6" t="n"/>
      <c r="M176" s="8" t="n"/>
      <c r="N176" s="8" t="n"/>
      <c r="O176" s="9">
        <f>IF(OR(M176="",N176="",N176=0),"",M176/N176)</f>
        <v/>
      </c>
      <c r="P176" s="10" t="n"/>
      <c r="Q176" s="10" t="n"/>
      <c r="R176" s="11">
        <f>IF(OR(M176="",P176=""),"",M176*P176)</f>
        <v/>
      </c>
      <c r="S176" s="11">
        <f>IF(OR(M176="",Q176=""),"",M176*Q176)</f>
        <v/>
      </c>
      <c r="T176" s="11">
        <f>IF(OR(R176="",S176=""),"",R176+S176)</f>
        <v/>
      </c>
      <c r="U176" s="11">
        <f>IF(OR(L176="",M176="",P176="",Q176=""),"",IF(UPPER(L176)="SHORT",(P176-Q176)*M176,(Q176-P176)*M176))</f>
        <v/>
      </c>
      <c r="V176" s="10" t="n"/>
      <c r="W176" s="10" t="n"/>
      <c r="X176" s="10" t="n"/>
      <c r="Y176" s="10" t="n"/>
      <c r="Z176" s="10" t="n"/>
      <c r="AA176" s="10" t="n"/>
      <c r="AB176" s="11">
        <f>IF(COUNTA(V176:AA176)=0,"",SUM(V176:AA176))</f>
        <v/>
      </c>
      <c r="AC176" s="11">
        <f>IF(U176="","",U176-IF(AB176="",0,AB176))</f>
        <v/>
      </c>
      <c r="AD176" s="12">
        <f>IF(AC176="","",IF(AC176&gt;0,"PROFIT",IF(AC176&lt;0,"LOSS","BREAKEVEN")))</f>
        <v/>
      </c>
      <c r="AE176" s="6" t="n"/>
      <c r="AF176" s="6" t="n"/>
      <c r="AG176" s="6" t="n"/>
      <c r="AH176" s="5" t="n"/>
    </row>
    <row r="177" ht="20" customHeight="1">
      <c r="A177" s="5" t="n"/>
      <c r="B177" s="6" t="n"/>
      <c r="C177" s="6" t="n"/>
      <c r="D177" s="7" t="n"/>
      <c r="E177" s="5" t="n"/>
      <c r="F177" s="6" t="n"/>
      <c r="G177" s="6" t="n"/>
      <c r="H177" s="6" t="n"/>
      <c r="I177" s="6" t="n"/>
      <c r="J177" s="5" t="n"/>
      <c r="K177" s="7" t="n"/>
      <c r="L177" s="6" t="n"/>
      <c r="M177" s="8" t="n"/>
      <c r="N177" s="8" t="n"/>
      <c r="O177" s="9">
        <f>IF(OR(M177="",N177="",N177=0),"",M177/N177)</f>
        <v/>
      </c>
      <c r="P177" s="10" t="n"/>
      <c r="Q177" s="10" t="n"/>
      <c r="R177" s="11">
        <f>IF(OR(M177="",P177=""),"",M177*P177)</f>
        <v/>
      </c>
      <c r="S177" s="11">
        <f>IF(OR(M177="",Q177=""),"",M177*Q177)</f>
        <v/>
      </c>
      <c r="T177" s="11">
        <f>IF(OR(R177="",S177=""),"",R177+S177)</f>
        <v/>
      </c>
      <c r="U177" s="11">
        <f>IF(OR(L177="",M177="",P177="",Q177=""),"",IF(UPPER(L177)="SHORT",(P177-Q177)*M177,(Q177-P177)*M177))</f>
        <v/>
      </c>
      <c r="V177" s="10" t="n"/>
      <c r="W177" s="10" t="n"/>
      <c r="X177" s="10" t="n"/>
      <c r="Y177" s="10" t="n"/>
      <c r="Z177" s="10" t="n"/>
      <c r="AA177" s="10" t="n"/>
      <c r="AB177" s="11">
        <f>IF(COUNTA(V177:AA177)=0,"",SUM(V177:AA177))</f>
        <v/>
      </c>
      <c r="AC177" s="11">
        <f>IF(U177="","",U177-IF(AB177="",0,AB177))</f>
        <v/>
      </c>
      <c r="AD177" s="12">
        <f>IF(AC177="","",IF(AC177&gt;0,"PROFIT",IF(AC177&lt;0,"LOSS","BREAKEVEN")))</f>
        <v/>
      </c>
      <c r="AE177" s="6" t="n"/>
      <c r="AF177" s="6" t="n"/>
      <c r="AG177" s="6" t="n"/>
      <c r="AH177" s="5" t="n"/>
    </row>
    <row r="178" ht="20" customHeight="1">
      <c r="A178" s="5" t="n"/>
      <c r="B178" s="6" t="n"/>
      <c r="C178" s="6" t="n"/>
      <c r="D178" s="7" t="n"/>
      <c r="E178" s="5" t="n"/>
      <c r="F178" s="6" t="n"/>
      <c r="G178" s="6" t="n"/>
      <c r="H178" s="6" t="n"/>
      <c r="I178" s="6" t="n"/>
      <c r="J178" s="5" t="n"/>
      <c r="K178" s="7" t="n"/>
      <c r="L178" s="6" t="n"/>
      <c r="M178" s="8" t="n"/>
      <c r="N178" s="8" t="n"/>
      <c r="O178" s="9">
        <f>IF(OR(M178="",N178="",N178=0),"",M178/N178)</f>
        <v/>
      </c>
      <c r="P178" s="10" t="n"/>
      <c r="Q178" s="10" t="n"/>
      <c r="R178" s="11">
        <f>IF(OR(M178="",P178=""),"",M178*P178)</f>
        <v/>
      </c>
      <c r="S178" s="11">
        <f>IF(OR(M178="",Q178=""),"",M178*Q178)</f>
        <v/>
      </c>
      <c r="T178" s="11">
        <f>IF(OR(R178="",S178=""),"",R178+S178)</f>
        <v/>
      </c>
      <c r="U178" s="11">
        <f>IF(OR(L178="",M178="",P178="",Q178=""),"",IF(UPPER(L178)="SHORT",(P178-Q178)*M178,(Q178-P178)*M178))</f>
        <v/>
      </c>
      <c r="V178" s="10" t="n"/>
      <c r="W178" s="10" t="n"/>
      <c r="X178" s="10" t="n"/>
      <c r="Y178" s="10" t="n"/>
      <c r="Z178" s="10" t="n"/>
      <c r="AA178" s="10" t="n"/>
      <c r="AB178" s="11">
        <f>IF(COUNTA(V178:AA178)=0,"",SUM(V178:AA178))</f>
        <v/>
      </c>
      <c r="AC178" s="11">
        <f>IF(U178="","",U178-IF(AB178="",0,AB178))</f>
        <v/>
      </c>
      <c r="AD178" s="12">
        <f>IF(AC178="","",IF(AC178&gt;0,"PROFIT",IF(AC178&lt;0,"LOSS","BREAKEVEN")))</f>
        <v/>
      </c>
      <c r="AE178" s="6" t="n"/>
      <c r="AF178" s="6" t="n"/>
      <c r="AG178" s="6" t="n"/>
      <c r="AH178" s="5" t="n"/>
    </row>
    <row r="179" ht="20" customHeight="1">
      <c r="A179" s="5" t="n"/>
      <c r="B179" s="6" t="n"/>
      <c r="C179" s="6" t="n"/>
      <c r="D179" s="7" t="n"/>
      <c r="E179" s="5" t="n"/>
      <c r="F179" s="6" t="n"/>
      <c r="G179" s="6" t="n"/>
      <c r="H179" s="6" t="n"/>
      <c r="I179" s="6" t="n"/>
      <c r="J179" s="5" t="n"/>
      <c r="K179" s="7" t="n"/>
      <c r="L179" s="6" t="n"/>
      <c r="M179" s="8" t="n"/>
      <c r="N179" s="8" t="n"/>
      <c r="O179" s="9">
        <f>IF(OR(M179="",N179="",N179=0),"",M179/N179)</f>
        <v/>
      </c>
      <c r="P179" s="10" t="n"/>
      <c r="Q179" s="10" t="n"/>
      <c r="R179" s="11">
        <f>IF(OR(M179="",P179=""),"",M179*P179)</f>
        <v/>
      </c>
      <c r="S179" s="11">
        <f>IF(OR(M179="",Q179=""),"",M179*Q179)</f>
        <v/>
      </c>
      <c r="T179" s="11">
        <f>IF(OR(R179="",S179=""),"",R179+S179)</f>
        <v/>
      </c>
      <c r="U179" s="11">
        <f>IF(OR(L179="",M179="",P179="",Q179=""),"",IF(UPPER(L179)="SHORT",(P179-Q179)*M179,(Q179-P179)*M179))</f>
        <v/>
      </c>
      <c r="V179" s="10" t="n"/>
      <c r="W179" s="10" t="n"/>
      <c r="X179" s="10" t="n"/>
      <c r="Y179" s="10" t="n"/>
      <c r="Z179" s="10" t="n"/>
      <c r="AA179" s="10" t="n"/>
      <c r="AB179" s="11">
        <f>IF(COUNTA(V179:AA179)=0,"",SUM(V179:AA179))</f>
        <v/>
      </c>
      <c r="AC179" s="11">
        <f>IF(U179="","",U179-IF(AB179="",0,AB179))</f>
        <v/>
      </c>
      <c r="AD179" s="12">
        <f>IF(AC179="","",IF(AC179&gt;0,"PROFIT",IF(AC179&lt;0,"LOSS","BREAKEVEN")))</f>
        <v/>
      </c>
      <c r="AE179" s="6" t="n"/>
      <c r="AF179" s="6" t="n"/>
      <c r="AG179" s="6" t="n"/>
      <c r="AH179" s="5" t="n"/>
    </row>
    <row r="180" ht="20" customHeight="1">
      <c r="A180" s="5" t="n"/>
      <c r="B180" s="6" t="n"/>
      <c r="C180" s="6" t="n"/>
      <c r="D180" s="7" t="n"/>
      <c r="E180" s="5" t="n"/>
      <c r="F180" s="6" t="n"/>
      <c r="G180" s="6" t="n"/>
      <c r="H180" s="6" t="n"/>
      <c r="I180" s="6" t="n"/>
      <c r="J180" s="5" t="n"/>
      <c r="K180" s="7" t="n"/>
      <c r="L180" s="6" t="n"/>
      <c r="M180" s="8" t="n"/>
      <c r="N180" s="8" t="n"/>
      <c r="O180" s="9">
        <f>IF(OR(M180="",N180="",N180=0),"",M180/N180)</f>
        <v/>
      </c>
      <c r="P180" s="10" t="n"/>
      <c r="Q180" s="10" t="n"/>
      <c r="R180" s="11">
        <f>IF(OR(M180="",P180=""),"",M180*P180)</f>
        <v/>
      </c>
      <c r="S180" s="11">
        <f>IF(OR(M180="",Q180=""),"",M180*Q180)</f>
        <v/>
      </c>
      <c r="T180" s="11">
        <f>IF(OR(R180="",S180=""),"",R180+S180)</f>
        <v/>
      </c>
      <c r="U180" s="11">
        <f>IF(OR(L180="",M180="",P180="",Q180=""),"",IF(UPPER(L180)="SHORT",(P180-Q180)*M180,(Q180-P180)*M180))</f>
        <v/>
      </c>
      <c r="V180" s="10" t="n"/>
      <c r="W180" s="10" t="n"/>
      <c r="X180" s="10" t="n"/>
      <c r="Y180" s="10" t="n"/>
      <c r="Z180" s="10" t="n"/>
      <c r="AA180" s="10" t="n"/>
      <c r="AB180" s="11">
        <f>IF(COUNTA(V180:AA180)=0,"",SUM(V180:AA180))</f>
        <v/>
      </c>
      <c r="AC180" s="11">
        <f>IF(U180="","",U180-IF(AB180="",0,AB180))</f>
        <v/>
      </c>
      <c r="AD180" s="12">
        <f>IF(AC180="","",IF(AC180&gt;0,"PROFIT",IF(AC180&lt;0,"LOSS","BREAKEVEN")))</f>
        <v/>
      </c>
      <c r="AE180" s="6" t="n"/>
      <c r="AF180" s="6" t="n"/>
      <c r="AG180" s="6" t="n"/>
      <c r="AH180" s="5" t="n"/>
    </row>
    <row r="181" ht="20" customHeight="1">
      <c r="A181" s="5" t="n"/>
      <c r="B181" s="6" t="n"/>
      <c r="C181" s="6" t="n"/>
      <c r="D181" s="7" t="n"/>
      <c r="E181" s="5" t="n"/>
      <c r="F181" s="6" t="n"/>
      <c r="G181" s="6" t="n"/>
      <c r="H181" s="6" t="n"/>
      <c r="I181" s="6" t="n"/>
      <c r="J181" s="5" t="n"/>
      <c r="K181" s="7" t="n"/>
      <c r="L181" s="6" t="n"/>
      <c r="M181" s="8" t="n"/>
      <c r="N181" s="8" t="n"/>
      <c r="O181" s="9">
        <f>IF(OR(M181="",N181="",N181=0),"",M181/N181)</f>
        <v/>
      </c>
      <c r="P181" s="10" t="n"/>
      <c r="Q181" s="10" t="n"/>
      <c r="R181" s="11">
        <f>IF(OR(M181="",P181=""),"",M181*P181)</f>
        <v/>
      </c>
      <c r="S181" s="11">
        <f>IF(OR(M181="",Q181=""),"",M181*Q181)</f>
        <v/>
      </c>
      <c r="T181" s="11">
        <f>IF(OR(R181="",S181=""),"",R181+S181)</f>
        <v/>
      </c>
      <c r="U181" s="11">
        <f>IF(OR(L181="",M181="",P181="",Q181=""),"",IF(UPPER(L181)="SHORT",(P181-Q181)*M181,(Q181-P181)*M181))</f>
        <v/>
      </c>
      <c r="V181" s="10" t="n"/>
      <c r="W181" s="10" t="n"/>
      <c r="X181" s="10" t="n"/>
      <c r="Y181" s="10" t="n"/>
      <c r="Z181" s="10" t="n"/>
      <c r="AA181" s="10" t="n"/>
      <c r="AB181" s="11">
        <f>IF(COUNTA(V181:AA181)=0,"",SUM(V181:AA181))</f>
        <v/>
      </c>
      <c r="AC181" s="11">
        <f>IF(U181="","",U181-IF(AB181="",0,AB181))</f>
        <v/>
      </c>
      <c r="AD181" s="12">
        <f>IF(AC181="","",IF(AC181&gt;0,"PROFIT",IF(AC181&lt;0,"LOSS","BREAKEVEN")))</f>
        <v/>
      </c>
      <c r="AE181" s="6" t="n"/>
      <c r="AF181" s="6" t="n"/>
      <c r="AG181" s="6" t="n"/>
      <c r="AH181" s="5" t="n"/>
    </row>
    <row r="182" ht="20" customHeight="1">
      <c r="A182" s="5" t="n"/>
      <c r="B182" s="6" t="n"/>
      <c r="C182" s="6" t="n"/>
      <c r="D182" s="7" t="n"/>
      <c r="E182" s="5" t="n"/>
      <c r="F182" s="6" t="n"/>
      <c r="G182" s="6" t="n"/>
      <c r="H182" s="6" t="n"/>
      <c r="I182" s="6" t="n"/>
      <c r="J182" s="5" t="n"/>
      <c r="K182" s="7" t="n"/>
      <c r="L182" s="6" t="n"/>
      <c r="M182" s="8" t="n"/>
      <c r="N182" s="8" t="n"/>
      <c r="O182" s="9">
        <f>IF(OR(M182="",N182="",N182=0),"",M182/N182)</f>
        <v/>
      </c>
      <c r="P182" s="10" t="n"/>
      <c r="Q182" s="10" t="n"/>
      <c r="R182" s="11">
        <f>IF(OR(M182="",P182=""),"",M182*P182)</f>
        <v/>
      </c>
      <c r="S182" s="11">
        <f>IF(OR(M182="",Q182=""),"",M182*Q182)</f>
        <v/>
      </c>
      <c r="T182" s="11">
        <f>IF(OR(R182="",S182=""),"",R182+S182)</f>
        <v/>
      </c>
      <c r="U182" s="11">
        <f>IF(OR(L182="",M182="",P182="",Q182=""),"",IF(UPPER(L182)="SHORT",(P182-Q182)*M182,(Q182-P182)*M182))</f>
        <v/>
      </c>
      <c r="V182" s="10" t="n"/>
      <c r="W182" s="10" t="n"/>
      <c r="X182" s="10" t="n"/>
      <c r="Y182" s="10" t="n"/>
      <c r="Z182" s="10" t="n"/>
      <c r="AA182" s="10" t="n"/>
      <c r="AB182" s="11">
        <f>IF(COUNTA(V182:AA182)=0,"",SUM(V182:AA182))</f>
        <v/>
      </c>
      <c r="AC182" s="11">
        <f>IF(U182="","",U182-IF(AB182="",0,AB182))</f>
        <v/>
      </c>
      <c r="AD182" s="12">
        <f>IF(AC182="","",IF(AC182&gt;0,"PROFIT",IF(AC182&lt;0,"LOSS","BREAKEVEN")))</f>
        <v/>
      </c>
      <c r="AE182" s="6" t="n"/>
      <c r="AF182" s="6" t="n"/>
      <c r="AG182" s="6" t="n"/>
      <c r="AH182" s="5" t="n"/>
    </row>
    <row r="183" ht="20" customHeight="1">
      <c r="A183" s="5" t="n"/>
      <c r="B183" s="6" t="n"/>
      <c r="C183" s="6" t="n"/>
      <c r="D183" s="7" t="n"/>
      <c r="E183" s="5" t="n"/>
      <c r="F183" s="6" t="n"/>
      <c r="G183" s="6" t="n"/>
      <c r="H183" s="6" t="n"/>
      <c r="I183" s="6" t="n"/>
      <c r="J183" s="5" t="n"/>
      <c r="K183" s="7" t="n"/>
      <c r="L183" s="6" t="n"/>
      <c r="M183" s="8" t="n"/>
      <c r="N183" s="8" t="n"/>
      <c r="O183" s="9">
        <f>IF(OR(M183="",N183="",N183=0),"",M183/N183)</f>
        <v/>
      </c>
      <c r="P183" s="10" t="n"/>
      <c r="Q183" s="10" t="n"/>
      <c r="R183" s="11">
        <f>IF(OR(M183="",P183=""),"",M183*P183)</f>
        <v/>
      </c>
      <c r="S183" s="11">
        <f>IF(OR(M183="",Q183=""),"",M183*Q183)</f>
        <v/>
      </c>
      <c r="T183" s="11">
        <f>IF(OR(R183="",S183=""),"",R183+S183)</f>
        <v/>
      </c>
      <c r="U183" s="11">
        <f>IF(OR(L183="",M183="",P183="",Q183=""),"",IF(UPPER(L183)="SHORT",(P183-Q183)*M183,(Q183-P183)*M183))</f>
        <v/>
      </c>
      <c r="V183" s="10" t="n"/>
      <c r="W183" s="10" t="n"/>
      <c r="X183" s="10" t="n"/>
      <c r="Y183" s="10" t="n"/>
      <c r="Z183" s="10" t="n"/>
      <c r="AA183" s="10" t="n"/>
      <c r="AB183" s="11">
        <f>IF(COUNTA(V183:AA183)=0,"",SUM(V183:AA183))</f>
        <v/>
      </c>
      <c r="AC183" s="11">
        <f>IF(U183="","",U183-IF(AB183="",0,AB183))</f>
        <v/>
      </c>
      <c r="AD183" s="12">
        <f>IF(AC183="","",IF(AC183&gt;0,"PROFIT",IF(AC183&lt;0,"LOSS","BREAKEVEN")))</f>
        <v/>
      </c>
      <c r="AE183" s="6" t="n"/>
      <c r="AF183" s="6" t="n"/>
      <c r="AG183" s="6" t="n"/>
      <c r="AH183" s="5" t="n"/>
    </row>
    <row r="184" ht="20" customHeight="1">
      <c r="A184" s="5" t="n"/>
      <c r="B184" s="6" t="n"/>
      <c r="C184" s="6" t="n"/>
      <c r="D184" s="7" t="n"/>
      <c r="E184" s="5" t="n"/>
      <c r="F184" s="6" t="n"/>
      <c r="G184" s="6" t="n"/>
      <c r="H184" s="6" t="n"/>
      <c r="I184" s="6" t="n"/>
      <c r="J184" s="5" t="n"/>
      <c r="K184" s="7" t="n"/>
      <c r="L184" s="6" t="n"/>
      <c r="M184" s="8" t="n"/>
      <c r="N184" s="8" t="n"/>
      <c r="O184" s="9">
        <f>IF(OR(M184="",N184="",N184=0),"",M184/N184)</f>
        <v/>
      </c>
      <c r="P184" s="10" t="n"/>
      <c r="Q184" s="10" t="n"/>
      <c r="R184" s="11">
        <f>IF(OR(M184="",P184=""),"",M184*P184)</f>
        <v/>
      </c>
      <c r="S184" s="11">
        <f>IF(OR(M184="",Q184=""),"",M184*Q184)</f>
        <v/>
      </c>
      <c r="T184" s="11">
        <f>IF(OR(R184="",S184=""),"",R184+S184)</f>
        <v/>
      </c>
      <c r="U184" s="11">
        <f>IF(OR(L184="",M184="",P184="",Q184=""),"",IF(UPPER(L184)="SHORT",(P184-Q184)*M184,(Q184-P184)*M184))</f>
        <v/>
      </c>
      <c r="V184" s="10" t="n"/>
      <c r="W184" s="10" t="n"/>
      <c r="X184" s="10" t="n"/>
      <c r="Y184" s="10" t="n"/>
      <c r="Z184" s="10" t="n"/>
      <c r="AA184" s="10" t="n"/>
      <c r="AB184" s="11">
        <f>IF(COUNTA(V184:AA184)=0,"",SUM(V184:AA184))</f>
        <v/>
      </c>
      <c r="AC184" s="11">
        <f>IF(U184="","",U184-IF(AB184="",0,AB184))</f>
        <v/>
      </c>
      <c r="AD184" s="12">
        <f>IF(AC184="","",IF(AC184&gt;0,"PROFIT",IF(AC184&lt;0,"LOSS","BREAKEVEN")))</f>
        <v/>
      </c>
      <c r="AE184" s="6" t="n"/>
      <c r="AF184" s="6" t="n"/>
      <c r="AG184" s="6" t="n"/>
      <c r="AH184" s="5" t="n"/>
    </row>
    <row r="185" ht="20" customHeight="1">
      <c r="A185" s="5" t="n"/>
      <c r="B185" s="6" t="n"/>
      <c r="C185" s="6" t="n"/>
      <c r="D185" s="7" t="n"/>
      <c r="E185" s="5" t="n"/>
      <c r="F185" s="6" t="n"/>
      <c r="G185" s="6" t="n"/>
      <c r="H185" s="6" t="n"/>
      <c r="I185" s="6" t="n"/>
      <c r="J185" s="5" t="n"/>
      <c r="K185" s="7" t="n"/>
      <c r="L185" s="6" t="n"/>
      <c r="M185" s="8" t="n"/>
      <c r="N185" s="8" t="n"/>
      <c r="O185" s="9">
        <f>IF(OR(M185="",N185="",N185=0),"",M185/N185)</f>
        <v/>
      </c>
      <c r="P185" s="10" t="n"/>
      <c r="Q185" s="10" t="n"/>
      <c r="R185" s="11">
        <f>IF(OR(M185="",P185=""),"",M185*P185)</f>
        <v/>
      </c>
      <c r="S185" s="11">
        <f>IF(OR(M185="",Q185=""),"",M185*Q185)</f>
        <v/>
      </c>
      <c r="T185" s="11">
        <f>IF(OR(R185="",S185=""),"",R185+S185)</f>
        <v/>
      </c>
      <c r="U185" s="11">
        <f>IF(OR(L185="",M185="",P185="",Q185=""),"",IF(UPPER(L185)="SHORT",(P185-Q185)*M185,(Q185-P185)*M185))</f>
        <v/>
      </c>
      <c r="V185" s="10" t="n"/>
      <c r="W185" s="10" t="n"/>
      <c r="X185" s="10" t="n"/>
      <c r="Y185" s="10" t="n"/>
      <c r="Z185" s="10" t="n"/>
      <c r="AA185" s="10" t="n"/>
      <c r="AB185" s="11">
        <f>IF(COUNTA(V185:AA185)=0,"",SUM(V185:AA185))</f>
        <v/>
      </c>
      <c r="AC185" s="11">
        <f>IF(U185="","",U185-IF(AB185="",0,AB185))</f>
        <v/>
      </c>
      <c r="AD185" s="12">
        <f>IF(AC185="","",IF(AC185&gt;0,"PROFIT",IF(AC185&lt;0,"LOSS","BREAKEVEN")))</f>
        <v/>
      </c>
      <c r="AE185" s="6" t="n"/>
      <c r="AF185" s="6" t="n"/>
      <c r="AG185" s="6" t="n"/>
      <c r="AH185" s="5" t="n"/>
    </row>
    <row r="186" ht="20" customHeight="1">
      <c r="A186" s="5" t="n"/>
      <c r="B186" s="6" t="n"/>
      <c r="C186" s="6" t="n"/>
      <c r="D186" s="7" t="n"/>
      <c r="E186" s="5" t="n"/>
      <c r="F186" s="6" t="n"/>
      <c r="G186" s="6" t="n"/>
      <c r="H186" s="6" t="n"/>
      <c r="I186" s="6" t="n"/>
      <c r="J186" s="5" t="n"/>
      <c r="K186" s="7" t="n"/>
      <c r="L186" s="6" t="n"/>
      <c r="M186" s="8" t="n"/>
      <c r="N186" s="8" t="n"/>
      <c r="O186" s="9">
        <f>IF(OR(M186="",N186="",N186=0),"",M186/N186)</f>
        <v/>
      </c>
      <c r="P186" s="10" t="n"/>
      <c r="Q186" s="10" t="n"/>
      <c r="R186" s="11">
        <f>IF(OR(M186="",P186=""),"",M186*P186)</f>
        <v/>
      </c>
      <c r="S186" s="11">
        <f>IF(OR(M186="",Q186=""),"",M186*Q186)</f>
        <v/>
      </c>
      <c r="T186" s="11">
        <f>IF(OR(R186="",S186=""),"",R186+S186)</f>
        <v/>
      </c>
      <c r="U186" s="11">
        <f>IF(OR(L186="",M186="",P186="",Q186=""),"",IF(UPPER(L186)="SHORT",(P186-Q186)*M186,(Q186-P186)*M186))</f>
        <v/>
      </c>
      <c r="V186" s="10" t="n"/>
      <c r="W186" s="10" t="n"/>
      <c r="X186" s="10" t="n"/>
      <c r="Y186" s="10" t="n"/>
      <c r="Z186" s="10" t="n"/>
      <c r="AA186" s="10" t="n"/>
      <c r="AB186" s="11">
        <f>IF(COUNTA(V186:AA186)=0,"",SUM(V186:AA186))</f>
        <v/>
      </c>
      <c r="AC186" s="11">
        <f>IF(U186="","",U186-IF(AB186="",0,AB186))</f>
        <v/>
      </c>
      <c r="AD186" s="12">
        <f>IF(AC186="","",IF(AC186&gt;0,"PROFIT",IF(AC186&lt;0,"LOSS","BREAKEVEN")))</f>
        <v/>
      </c>
      <c r="AE186" s="6" t="n"/>
      <c r="AF186" s="6" t="n"/>
      <c r="AG186" s="6" t="n"/>
      <c r="AH186" s="5" t="n"/>
    </row>
    <row r="187" ht="20" customHeight="1">
      <c r="A187" s="5" t="n"/>
      <c r="B187" s="6" t="n"/>
      <c r="C187" s="6" t="n"/>
      <c r="D187" s="7" t="n"/>
      <c r="E187" s="5" t="n"/>
      <c r="F187" s="6" t="n"/>
      <c r="G187" s="6" t="n"/>
      <c r="H187" s="6" t="n"/>
      <c r="I187" s="6" t="n"/>
      <c r="J187" s="5" t="n"/>
      <c r="K187" s="7" t="n"/>
      <c r="L187" s="6" t="n"/>
      <c r="M187" s="8" t="n"/>
      <c r="N187" s="8" t="n"/>
      <c r="O187" s="9">
        <f>IF(OR(M187="",N187="",N187=0),"",M187/N187)</f>
        <v/>
      </c>
      <c r="P187" s="10" t="n"/>
      <c r="Q187" s="10" t="n"/>
      <c r="R187" s="11">
        <f>IF(OR(M187="",P187=""),"",M187*P187)</f>
        <v/>
      </c>
      <c r="S187" s="11">
        <f>IF(OR(M187="",Q187=""),"",M187*Q187)</f>
        <v/>
      </c>
      <c r="T187" s="11">
        <f>IF(OR(R187="",S187=""),"",R187+S187)</f>
        <v/>
      </c>
      <c r="U187" s="11">
        <f>IF(OR(L187="",M187="",P187="",Q187=""),"",IF(UPPER(L187)="SHORT",(P187-Q187)*M187,(Q187-P187)*M187))</f>
        <v/>
      </c>
      <c r="V187" s="10" t="n"/>
      <c r="W187" s="10" t="n"/>
      <c r="X187" s="10" t="n"/>
      <c r="Y187" s="10" t="n"/>
      <c r="Z187" s="10" t="n"/>
      <c r="AA187" s="10" t="n"/>
      <c r="AB187" s="11">
        <f>IF(COUNTA(V187:AA187)=0,"",SUM(V187:AA187))</f>
        <v/>
      </c>
      <c r="AC187" s="11">
        <f>IF(U187="","",U187-IF(AB187="",0,AB187))</f>
        <v/>
      </c>
      <c r="AD187" s="12">
        <f>IF(AC187="","",IF(AC187&gt;0,"PROFIT",IF(AC187&lt;0,"LOSS","BREAKEVEN")))</f>
        <v/>
      </c>
      <c r="AE187" s="6" t="n"/>
      <c r="AF187" s="6" t="n"/>
      <c r="AG187" s="6" t="n"/>
      <c r="AH187" s="5" t="n"/>
    </row>
    <row r="188" ht="20" customHeight="1">
      <c r="A188" s="5" t="n"/>
      <c r="B188" s="6" t="n"/>
      <c r="C188" s="6" t="n"/>
      <c r="D188" s="7" t="n"/>
      <c r="E188" s="5" t="n"/>
      <c r="F188" s="6" t="n"/>
      <c r="G188" s="6" t="n"/>
      <c r="H188" s="6" t="n"/>
      <c r="I188" s="6" t="n"/>
      <c r="J188" s="5" t="n"/>
      <c r="K188" s="7" t="n"/>
      <c r="L188" s="6" t="n"/>
      <c r="M188" s="8" t="n"/>
      <c r="N188" s="8" t="n"/>
      <c r="O188" s="9">
        <f>IF(OR(M188="",N188="",N188=0),"",M188/N188)</f>
        <v/>
      </c>
      <c r="P188" s="10" t="n"/>
      <c r="Q188" s="10" t="n"/>
      <c r="R188" s="11">
        <f>IF(OR(M188="",P188=""),"",M188*P188)</f>
        <v/>
      </c>
      <c r="S188" s="11">
        <f>IF(OR(M188="",Q188=""),"",M188*Q188)</f>
        <v/>
      </c>
      <c r="T188" s="11">
        <f>IF(OR(R188="",S188=""),"",R188+S188)</f>
        <v/>
      </c>
      <c r="U188" s="11">
        <f>IF(OR(L188="",M188="",P188="",Q188=""),"",IF(UPPER(L188)="SHORT",(P188-Q188)*M188,(Q188-P188)*M188))</f>
        <v/>
      </c>
      <c r="V188" s="10" t="n"/>
      <c r="W188" s="10" t="n"/>
      <c r="X188" s="10" t="n"/>
      <c r="Y188" s="10" t="n"/>
      <c r="Z188" s="10" t="n"/>
      <c r="AA188" s="10" t="n"/>
      <c r="AB188" s="11">
        <f>IF(COUNTA(V188:AA188)=0,"",SUM(V188:AA188))</f>
        <v/>
      </c>
      <c r="AC188" s="11">
        <f>IF(U188="","",U188-IF(AB188="",0,AB188))</f>
        <v/>
      </c>
      <c r="AD188" s="12">
        <f>IF(AC188="","",IF(AC188&gt;0,"PROFIT",IF(AC188&lt;0,"LOSS","BREAKEVEN")))</f>
        <v/>
      </c>
      <c r="AE188" s="6" t="n"/>
      <c r="AF188" s="6" t="n"/>
      <c r="AG188" s="6" t="n"/>
      <c r="AH188" s="5" t="n"/>
    </row>
    <row r="189" ht="20" customHeight="1">
      <c r="A189" s="5" t="n"/>
      <c r="B189" s="6" t="n"/>
      <c r="C189" s="6" t="n"/>
      <c r="D189" s="7" t="n"/>
      <c r="E189" s="5" t="n"/>
      <c r="F189" s="6" t="n"/>
      <c r="G189" s="6" t="n"/>
      <c r="H189" s="6" t="n"/>
      <c r="I189" s="6" t="n"/>
      <c r="J189" s="5" t="n"/>
      <c r="K189" s="7" t="n"/>
      <c r="L189" s="6" t="n"/>
      <c r="M189" s="8" t="n"/>
      <c r="N189" s="8" t="n"/>
      <c r="O189" s="9">
        <f>IF(OR(M189="",N189="",N189=0),"",M189/N189)</f>
        <v/>
      </c>
      <c r="P189" s="10" t="n"/>
      <c r="Q189" s="10" t="n"/>
      <c r="R189" s="11">
        <f>IF(OR(M189="",P189=""),"",M189*P189)</f>
        <v/>
      </c>
      <c r="S189" s="11">
        <f>IF(OR(M189="",Q189=""),"",M189*Q189)</f>
        <v/>
      </c>
      <c r="T189" s="11">
        <f>IF(OR(R189="",S189=""),"",R189+S189)</f>
        <v/>
      </c>
      <c r="U189" s="11">
        <f>IF(OR(L189="",M189="",P189="",Q189=""),"",IF(UPPER(L189)="SHORT",(P189-Q189)*M189,(Q189-P189)*M189))</f>
        <v/>
      </c>
      <c r="V189" s="10" t="n"/>
      <c r="W189" s="10" t="n"/>
      <c r="X189" s="10" t="n"/>
      <c r="Y189" s="10" t="n"/>
      <c r="Z189" s="10" t="n"/>
      <c r="AA189" s="10" t="n"/>
      <c r="AB189" s="11">
        <f>IF(COUNTA(V189:AA189)=0,"",SUM(V189:AA189))</f>
        <v/>
      </c>
      <c r="AC189" s="11">
        <f>IF(U189="","",U189-IF(AB189="",0,AB189))</f>
        <v/>
      </c>
      <c r="AD189" s="12">
        <f>IF(AC189="","",IF(AC189&gt;0,"PROFIT",IF(AC189&lt;0,"LOSS","BREAKEVEN")))</f>
        <v/>
      </c>
      <c r="AE189" s="6" t="n"/>
      <c r="AF189" s="6" t="n"/>
      <c r="AG189" s="6" t="n"/>
      <c r="AH189" s="5" t="n"/>
    </row>
    <row r="190" ht="20" customHeight="1">
      <c r="A190" s="5" t="n"/>
      <c r="B190" s="6" t="n"/>
      <c r="C190" s="6" t="n"/>
      <c r="D190" s="7" t="n"/>
      <c r="E190" s="5" t="n"/>
      <c r="F190" s="6" t="n"/>
      <c r="G190" s="6" t="n"/>
      <c r="H190" s="6" t="n"/>
      <c r="I190" s="6" t="n"/>
      <c r="J190" s="5" t="n"/>
      <c r="K190" s="7" t="n"/>
      <c r="L190" s="6" t="n"/>
      <c r="M190" s="8" t="n"/>
      <c r="N190" s="8" t="n"/>
      <c r="O190" s="9">
        <f>IF(OR(M190="",N190="",N190=0),"",M190/N190)</f>
        <v/>
      </c>
      <c r="P190" s="10" t="n"/>
      <c r="Q190" s="10" t="n"/>
      <c r="R190" s="11">
        <f>IF(OR(M190="",P190=""),"",M190*P190)</f>
        <v/>
      </c>
      <c r="S190" s="11">
        <f>IF(OR(M190="",Q190=""),"",M190*Q190)</f>
        <v/>
      </c>
      <c r="T190" s="11">
        <f>IF(OR(R190="",S190=""),"",R190+S190)</f>
        <v/>
      </c>
      <c r="U190" s="11">
        <f>IF(OR(L190="",M190="",P190="",Q190=""),"",IF(UPPER(L190)="SHORT",(P190-Q190)*M190,(Q190-P190)*M190))</f>
        <v/>
      </c>
      <c r="V190" s="10" t="n"/>
      <c r="W190" s="10" t="n"/>
      <c r="X190" s="10" t="n"/>
      <c r="Y190" s="10" t="n"/>
      <c r="Z190" s="10" t="n"/>
      <c r="AA190" s="10" t="n"/>
      <c r="AB190" s="11">
        <f>IF(COUNTA(V190:AA190)=0,"",SUM(V190:AA190))</f>
        <v/>
      </c>
      <c r="AC190" s="11">
        <f>IF(U190="","",U190-IF(AB190="",0,AB190))</f>
        <v/>
      </c>
      <c r="AD190" s="12">
        <f>IF(AC190="","",IF(AC190&gt;0,"PROFIT",IF(AC190&lt;0,"LOSS","BREAKEVEN")))</f>
        <v/>
      </c>
      <c r="AE190" s="6" t="n"/>
      <c r="AF190" s="6" t="n"/>
      <c r="AG190" s="6" t="n"/>
      <c r="AH190" s="5" t="n"/>
    </row>
    <row r="191" ht="20" customHeight="1">
      <c r="A191" s="5" t="n"/>
      <c r="B191" s="6" t="n"/>
      <c r="C191" s="6" t="n"/>
      <c r="D191" s="7" t="n"/>
      <c r="E191" s="5" t="n"/>
      <c r="F191" s="6" t="n"/>
      <c r="G191" s="6" t="n"/>
      <c r="H191" s="6" t="n"/>
      <c r="I191" s="6" t="n"/>
      <c r="J191" s="5" t="n"/>
      <c r="K191" s="7" t="n"/>
      <c r="L191" s="6" t="n"/>
      <c r="M191" s="8" t="n"/>
      <c r="N191" s="8" t="n"/>
      <c r="O191" s="9">
        <f>IF(OR(M191="",N191="",N191=0),"",M191/N191)</f>
        <v/>
      </c>
      <c r="P191" s="10" t="n"/>
      <c r="Q191" s="10" t="n"/>
      <c r="R191" s="11">
        <f>IF(OR(M191="",P191=""),"",M191*P191)</f>
        <v/>
      </c>
      <c r="S191" s="11">
        <f>IF(OR(M191="",Q191=""),"",M191*Q191)</f>
        <v/>
      </c>
      <c r="T191" s="11">
        <f>IF(OR(R191="",S191=""),"",R191+S191)</f>
        <v/>
      </c>
      <c r="U191" s="11">
        <f>IF(OR(L191="",M191="",P191="",Q191=""),"",IF(UPPER(L191)="SHORT",(P191-Q191)*M191,(Q191-P191)*M191))</f>
        <v/>
      </c>
      <c r="V191" s="10" t="n"/>
      <c r="W191" s="10" t="n"/>
      <c r="X191" s="10" t="n"/>
      <c r="Y191" s="10" t="n"/>
      <c r="Z191" s="10" t="n"/>
      <c r="AA191" s="10" t="n"/>
      <c r="AB191" s="11">
        <f>IF(COUNTA(V191:AA191)=0,"",SUM(V191:AA191))</f>
        <v/>
      </c>
      <c r="AC191" s="11">
        <f>IF(U191="","",U191-IF(AB191="",0,AB191))</f>
        <v/>
      </c>
      <c r="AD191" s="12">
        <f>IF(AC191="","",IF(AC191&gt;0,"PROFIT",IF(AC191&lt;0,"LOSS","BREAKEVEN")))</f>
        <v/>
      </c>
      <c r="AE191" s="6" t="n"/>
      <c r="AF191" s="6" t="n"/>
      <c r="AG191" s="6" t="n"/>
      <c r="AH191" s="5" t="n"/>
    </row>
    <row r="192" ht="20" customHeight="1">
      <c r="A192" s="5" t="n"/>
      <c r="B192" s="6" t="n"/>
      <c r="C192" s="6" t="n"/>
      <c r="D192" s="7" t="n"/>
      <c r="E192" s="5" t="n"/>
      <c r="F192" s="6" t="n"/>
      <c r="G192" s="6" t="n"/>
      <c r="H192" s="6" t="n"/>
      <c r="I192" s="6" t="n"/>
      <c r="J192" s="5" t="n"/>
      <c r="K192" s="7" t="n"/>
      <c r="L192" s="6" t="n"/>
      <c r="M192" s="8" t="n"/>
      <c r="N192" s="8" t="n"/>
      <c r="O192" s="9">
        <f>IF(OR(M192="",N192="",N192=0),"",M192/N192)</f>
        <v/>
      </c>
      <c r="P192" s="10" t="n"/>
      <c r="Q192" s="10" t="n"/>
      <c r="R192" s="11">
        <f>IF(OR(M192="",P192=""),"",M192*P192)</f>
        <v/>
      </c>
      <c r="S192" s="11">
        <f>IF(OR(M192="",Q192=""),"",M192*Q192)</f>
        <v/>
      </c>
      <c r="T192" s="11">
        <f>IF(OR(R192="",S192=""),"",R192+S192)</f>
        <v/>
      </c>
      <c r="U192" s="11">
        <f>IF(OR(L192="",M192="",P192="",Q192=""),"",IF(UPPER(L192)="SHORT",(P192-Q192)*M192,(Q192-P192)*M192))</f>
        <v/>
      </c>
      <c r="V192" s="10" t="n"/>
      <c r="W192" s="10" t="n"/>
      <c r="X192" s="10" t="n"/>
      <c r="Y192" s="10" t="n"/>
      <c r="Z192" s="10" t="n"/>
      <c r="AA192" s="10" t="n"/>
      <c r="AB192" s="11">
        <f>IF(COUNTA(V192:AA192)=0,"",SUM(V192:AA192))</f>
        <v/>
      </c>
      <c r="AC192" s="11">
        <f>IF(U192="","",U192-IF(AB192="",0,AB192))</f>
        <v/>
      </c>
      <c r="AD192" s="12">
        <f>IF(AC192="","",IF(AC192&gt;0,"PROFIT",IF(AC192&lt;0,"LOSS","BREAKEVEN")))</f>
        <v/>
      </c>
      <c r="AE192" s="6" t="n"/>
      <c r="AF192" s="6" t="n"/>
      <c r="AG192" s="6" t="n"/>
      <c r="AH192" s="5" t="n"/>
    </row>
    <row r="193" ht="20" customHeight="1">
      <c r="A193" s="5" t="n"/>
      <c r="B193" s="6" t="n"/>
      <c r="C193" s="6" t="n"/>
      <c r="D193" s="7" t="n"/>
      <c r="E193" s="5" t="n"/>
      <c r="F193" s="6" t="n"/>
      <c r="G193" s="6" t="n"/>
      <c r="H193" s="6" t="n"/>
      <c r="I193" s="6" t="n"/>
      <c r="J193" s="5" t="n"/>
      <c r="K193" s="7" t="n"/>
      <c r="L193" s="6" t="n"/>
      <c r="M193" s="8" t="n"/>
      <c r="N193" s="8" t="n"/>
      <c r="O193" s="9">
        <f>IF(OR(M193="",N193="",N193=0),"",M193/N193)</f>
        <v/>
      </c>
      <c r="P193" s="10" t="n"/>
      <c r="Q193" s="10" t="n"/>
      <c r="R193" s="11">
        <f>IF(OR(M193="",P193=""),"",M193*P193)</f>
        <v/>
      </c>
      <c r="S193" s="11">
        <f>IF(OR(M193="",Q193=""),"",M193*Q193)</f>
        <v/>
      </c>
      <c r="T193" s="11">
        <f>IF(OR(R193="",S193=""),"",R193+S193)</f>
        <v/>
      </c>
      <c r="U193" s="11">
        <f>IF(OR(L193="",M193="",P193="",Q193=""),"",IF(UPPER(L193)="SHORT",(P193-Q193)*M193,(Q193-P193)*M193))</f>
        <v/>
      </c>
      <c r="V193" s="10" t="n"/>
      <c r="W193" s="10" t="n"/>
      <c r="X193" s="10" t="n"/>
      <c r="Y193" s="10" t="n"/>
      <c r="Z193" s="10" t="n"/>
      <c r="AA193" s="10" t="n"/>
      <c r="AB193" s="11">
        <f>IF(COUNTA(V193:AA193)=0,"",SUM(V193:AA193))</f>
        <v/>
      </c>
      <c r="AC193" s="11">
        <f>IF(U193="","",U193-IF(AB193="",0,AB193))</f>
        <v/>
      </c>
      <c r="AD193" s="12">
        <f>IF(AC193="","",IF(AC193&gt;0,"PROFIT",IF(AC193&lt;0,"LOSS","BREAKEVEN")))</f>
        <v/>
      </c>
      <c r="AE193" s="6" t="n"/>
      <c r="AF193" s="6" t="n"/>
      <c r="AG193" s="6" t="n"/>
      <c r="AH193" s="5" t="n"/>
    </row>
    <row r="194" ht="20" customHeight="1">
      <c r="A194" s="5" t="n"/>
      <c r="B194" s="6" t="n"/>
      <c r="C194" s="6" t="n"/>
      <c r="D194" s="7" t="n"/>
      <c r="E194" s="5" t="n"/>
      <c r="F194" s="6" t="n"/>
      <c r="G194" s="6" t="n"/>
      <c r="H194" s="6" t="n"/>
      <c r="I194" s="6" t="n"/>
      <c r="J194" s="5" t="n"/>
      <c r="K194" s="7" t="n"/>
      <c r="L194" s="6" t="n"/>
      <c r="M194" s="8" t="n"/>
      <c r="N194" s="8" t="n"/>
      <c r="O194" s="9">
        <f>IF(OR(M194="",N194="",N194=0),"",M194/N194)</f>
        <v/>
      </c>
      <c r="P194" s="10" t="n"/>
      <c r="Q194" s="10" t="n"/>
      <c r="R194" s="11">
        <f>IF(OR(M194="",P194=""),"",M194*P194)</f>
        <v/>
      </c>
      <c r="S194" s="11">
        <f>IF(OR(M194="",Q194=""),"",M194*Q194)</f>
        <v/>
      </c>
      <c r="T194" s="11">
        <f>IF(OR(R194="",S194=""),"",R194+S194)</f>
        <v/>
      </c>
      <c r="U194" s="11">
        <f>IF(OR(L194="",M194="",P194="",Q194=""),"",IF(UPPER(L194)="SHORT",(P194-Q194)*M194,(Q194-P194)*M194))</f>
        <v/>
      </c>
      <c r="V194" s="10" t="n"/>
      <c r="W194" s="10" t="n"/>
      <c r="X194" s="10" t="n"/>
      <c r="Y194" s="10" t="n"/>
      <c r="Z194" s="10" t="n"/>
      <c r="AA194" s="10" t="n"/>
      <c r="AB194" s="11">
        <f>IF(COUNTA(V194:AA194)=0,"",SUM(V194:AA194))</f>
        <v/>
      </c>
      <c r="AC194" s="11">
        <f>IF(U194="","",U194-IF(AB194="",0,AB194))</f>
        <v/>
      </c>
      <c r="AD194" s="12">
        <f>IF(AC194="","",IF(AC194&gt;0,"PROFIT",IF(AC194&lt;0,"LOSS","BREAKEVEN")))</f>
        <v/>
      </c>
      <c r="AE194" s="6" t="n"/>
      <c r="AF194" s="6" t="n"/>
      <c r="AG194" s="6" t="n"/>
      <c r="AH194" s="5" t="n"/>
    </row>
    <row r="195" ht="20" customHeight="1">
      <c r="A195" s="5" t="n"/>
      <c r="B195" s="6" t="n"/>
      <c r="C195" s="6" t="n"/>
      <c r="D195" s="7" t="n"/>
      <c r="E195" s="5" t="n"/>
      <c r="F195" s="6" t="n"/>
      <c r="G195" s="6" t="n"/>
      <c r="H195" s="6" t="n"/>
      <c r="I195" s="6" t="n"/>
      <c r="J195" s="5" t="n"/>
      <c r="K195" s="7" t="n"/>
      <c r="L195" s="6" t="n"/>
      <c r="M195" s="8" t="n"/>
      <c r="N195" s="8" t="n"/>
      <c r="O195" s="9">
        <f>IF(OR(M195="",N195="",N195=0),"",M195/N195)</f>
        <v/>
      </c>
      <c r="P195" s="10" t="n"/>
      <c r="Q195" s="10" t="n"/>
      <c r="R195" s="11">
        <f>IF(OR(M195="",P195=""),"",M195*P195)</f>
        <v/>
      </c>
      <c r="S195" s="11">
        <f>IF(OR(M195="",Q195=""),"",M195*Q195)</f>
        <v/>
      </c>
      <c r="T195" s="11">
        <f>IF(OR(R195="",S195=""),"",R195+S195)</f>
        <v/>
      </c>
      <c r="U195" s="11">
        <f>IF(OR(L195="",M195="",P195="",Q195=""),"",IF(UPPER(L195)="SHORT",(P195-Q195)*M195,(Q195-P195)*M195))</f>
        <v/>
      </c>
      <c r="V195" s="10" t="n"/>
      <c r="W195" s="10" t="n"/>
      <c r="X195" s="10" t="n"/>
      <c r="Y195" s="10" t="n"/>
      <c r="Z195" s="10" t="n"/>
      <c r="AA195" s="10" t="n"/>
      <c r="AB195" s="11">
        <f>IF(COUNTA(V195:AA195)=0,"",SUM(V195:AA195))</f>
        <v/>
      </c>
      <c r="AC195" s="11">
        <f>IF(U195="","",U195-IF(AB195="",0,AB195))</f>
        <v/>
      </c>
      <c r="AD195" s="12">
        <f>IF(AC195="","",IF(AC195&gt;0,"PROFIT",IF(AC195&lt;0,"LOSS","BREAKEVEN")))</f>
        <v/>
      </c>
      <c r="AE195" s="6" t="n"/>
      <c r="AF195" s="6" t="n"/>
      <c r="AG195" s="6" t="n"/>
      <c r="AH195" s="5" t="n"/>
    </row>
    <row r="196" ht="20" customHeight="1">
      <c r="A196" s="5" t="n"/>
      <c r="B196" s="6" t="n"/>
      <c r="C196" s="6" t="n"/>
      <c r="D196" s="7" t="n"/>
      <c r="E196" s="5" t="n"/>
      <c r="F196" s="6" t="n"/>
      <c r="G196" s="6" t="n"/>
      <c r="H196" s="6" t="n"/>
      <c r="I196" s="6" t="n"/>
      <c r="J196" s="5" t="n"/>
      <c r="K196" s="7" t="n"/>
      <c r="L196" s="6" t="n"/>
      <c r="M196" s="8" t="n"/>
      <c r="N196" s="8" t="n"/>
      <c r="O196" s="9">
        <f>IF(OR(M196="",N196="",N196=0),"",M196/N196)</f>
        <v/>
      </c>
      <c r="P196" s="10" t="n"/>
      <c r="Q196" s="10" t="n"/>
      <c r="R196" s="11">
        <f>IF(OR(M196="",P196=""),"",M196*P196)</f>
        <v/>
      </c>
      <c r="S196" s="11">
        <f>IF(OR(M196="",Q196=""),"",M196*Q196)</f>
        <v/>
      </c>
      <c r="T196" s="11">
        <f>IF(OR(R196="",S196=""),"",R196+S196)</f>
        <v/>
      </c>
      <c r="U196" s="11">
        <f>IF(OR(L196="",M196="",P196="",Q196=""),"",IF(UPPER(L196)="SHORT",(P196-Q196)*M196,(Q196-P196)*M196))</f>
        <v/>
      </c>
      <c r="V196" s="10" t="n"/>
      <c r="W196" s="10" t="n"/>
      <c r="X196" s="10" t="n"/>
      <c r="Y196" s="10" t="n"/>
      <c r="Z196" s="10" t="n"/>
      <c r="AA196" s="10" t="n"/>
      <c r="AB196" s="11">
        <f>IF(COUNTA(V196:AA196)=0,"",SUM(V196:AA196))</f>
        <v/>
      </c>
      <c r="AC196" s="11">
        <f>IF(U196="","",U196-IF(AB196="",0,AB196))</f>
        <v/>
      </c>
      <c r="AD196" s="12">
        <f>IF(AC196="","",IF(AC196&gt;0,"PROFIT",IF(AC196&lt;0,"LOSS","BREAKEVEN")))</f>
        <v/>
      </c>
      <c r="AE196" s="6" t="n"/>
      <c r="AF196" s="6" t="n"/>
      <c r="AG196" s="6" t="n"/>
      <c r="AH196" s="5" t="n"/>
    </row>
    <row r="197" ht="20" customHeight="1">
      <c r="A197" s="5" t="n"/>
      <c r="B197" s="6" t="n"/>
      <c r="C197" s="6" t="n"/>
      <c r="D197" s="7" t="n"/>
      <c r="E197" s="5" t="n"/>
      <c r="F197" s="6" t="n"/>
      <c r="G197" s="6" t="n"/>
      <c r="H197" s="6" t="n"/>
      <c r="I197" s="6" t="n"/>
      <c r="J197" s="5" t="n"/>
      <c r="K197" s="7" t="n"/>
      <c r="L197" s="6" t="n"/>
      <c r="M197" s="8" t="n"/>
      <c r="N197" s="8" t="n"/>
      <c r="O197" s="9">
        <f>IF(OR(M197="",N197="",N197=0),"",M197/N197)</f>
        <v/>
      </c>
      <c r="P197" s="10" t="n"/>
      <c r="Q197" s="10" t="n"/>
      <c r="R197" s="11">
        <f>IF(OR(M197="",P197=""),"",M197*P197)</f>
        <v/>
      </c>
      <c r="S197" s="11">
        <f>IF(OR(M197="",Q197=""),"",M197*Q197)</f>
        <v/>
      </c>
      <c r="T197" s="11">
        <f>IF(OR(R197="",S197=""),"",R197+S197)</f>
        <v/>
      </c>
      <c r="U197" s="11">
        <f>IF(OR(L197="",M197="",P197="",Q197=""),"",IF(UPPER(L197)="SHORT",(P197-Q197)*M197,(Q197-P197)*M197))</f>
        <v/>
      </c>
      <c r="V197" s="10" t="n"/>
      <c r="W197" s="10" t="n"/>
      <c r="X197" s="10" t="n"/>
      <c r="Y197" s="10" t="n"/>
      <c r="Z197" s="10" t="n"/>
      <c r="AA197" s="10" t="n"/>
      <c r="AB197" s="11">
        <f>IF(COUNTA(V197:AA197)=0,"",SUM(V197:AA197))</f>
        <v/>
      </c>
      <c r="AC197" s="11">
        <f>IF(U197="","",U197-IF(AB197="",0,AB197))</f>
        <v/>
      </c>
      <c r="AD197" s="12">
        <f>IF(AC197="","",IF(AC197&gt;0,"PROFIT",IF(AC197&lt;0,"LOSS","BREAKEVEN")))</f>
        <v/>
      </c>
      <c r="AE197" s="6" t="n"/>
      <c r="AF197" s="6" t="n"/>
      <c r="AG197" s="6" t="n"/>
      <c r="AH197" s="5" t="n"/>
    </row>
    <row r="198" ht="20" customHeight="1">
      <c r="A198" s="5" t="n"/>
      <c r="B198" s="6" t="n"/>
      <c r="C198" s="6" t="n"/>
      <c r="D198" s="7" t="n"/>
      <c r="E198" s="5" t="n"/>
      <c r="F198" s="6" t="n"/>
      <c r="G198" s="6" t="n"/>
      <c r="H198" s="6" t="n"/>
      <c r="I198" s="6" t="n"/>
      <c r="J198" s="5" t="n"/>
      <c r="K198" s="7" t="n"/>
      <c r="L198" s="6" t="n"/>
      <c r="M198" s="8" t="n"/>
      <c r="N198" s="8" t="n"/>
      <c r="O198" s="9">
        <f>IF(OR(M198="",N198="",N198=0),"",M198/N198)</f>
        <v/>
      </c>
      <c r="P198" s="10" t="n"/>
      <c r="Q198" s="10" t="n"/>
      <c r="R198" s="11">
        <f>IF(OR(M198="",P198=""),"",M198*P198)</f>
        <v/>
      </c>
      <c r="S198" s="11">
        <f>IF(OR(M198="",Q198=""),"",M198*Q198)</f>
        <v/>
      </c>
      <c r="T198" s="11">
        <f>IF(OR(R198="",S198=""),"",R198+S198)</f>
        <v/>
      </c>
      <c r="U198" s="11">
        <f>IF(OR(L198="",M198="",P198="",Q198=""),"",IF(UPPER(L198)="SHORT",(P198-Q198)*M198,(Q198-P198)*M198))</f>
        <v/>
      </c>
      <c r="V198" s="10" t="n"/>
      <c r="W198" s="10" t="n"/>
      <c r="X198" s="10" t="n"/>
      <c r="Y198" s="10" t="n"/>
      <c r="Z198" s="10" t="n"/>
      <c r="AA198" s="10" t="n"/>
      <c r="AB198" s="11">
        <f>IF(COUNTA(V198:AA198)=0,"",SUM(V198:AA198))</f>
        <v/>
      </c>
      <c r="AC198" s="11">
        <f>IF(U198="","",U198-IF(AB198="",0,AB198))</f>
        <v/>
      </c>
      <c r="AD198" s="12">
        <f>IF(AC198="","",IF(AC198&gt;0,"PROFIT",IF(AC198&lt;0,"LOSS","BREAKEVEN")))</f>
        <v/>
      </c>
      <c r="AE198" s="6" t="n"/>
      <c r="AF198" s="6" t="n"/>
      <c r="AG198" s="6" t="n"/>
      <c r="AH198" s="5" t="n"/>
    </row>
    <row r="199" ht="20" customHeight="1">
      <c r="A199" s="5" t="n"/>
      <c r="B199" s="6" t="n"/>
      <c r="C199" s="6" t="n"/>
      <c r="D199" s="7" t="n"/>
      <c r="E199" s="5" t="n"/>
      <c r="F199" s="6" t="n"/>
      <c r="G199" s="6" t="n"/>
      <c r="H199" s="6" t="n"/>
      <c r="I199" s="6" t="n"/>
      <c r="J199" s="5" t="n"/>
      <c r="K199" s="7" t="n"/>
      <c r="L199" s="6" t="n"/>
      <c r="M199" s="8" t="n"/>
      <c r="N199" s="8" t="n"/>
      <c r="O199" s="9">
        <f>IF(OR(M199="",N199="",N199=0),"",M199/N199)</f>
        <v/>
      </c>
      <c r="P199" s="10" t="n"/>
      <c r="Q199" s="10" t="n"/>
      <c r="R199" s="11">
        <f>IF(OR(M199="",P199=""),"",M199*P199)</f>
        <v/>
      </c>
      <c r="S199" s="11">
        <f>IF(OR(M199="",Q199=""),"",M199*Q199)</f>
        <v/>
      </c>
      <c r="T199" s="11">
        <f>IF(OR(R199="",S199=""),"",R199+S199)</f>
        <v/>
      </c>
      <c r="U199" s="11">
        <f>IF(OR(L199="",M199="",P199="",Q199=""),"",IF(UPPER(L199)="SHORT",(P199-Q199)*M199,(Q199-P199)*M199))</f>
        <v/>
      </c>
      <c r="V199" s="10" t="n"/>
      <c r="W199" s="10" t="n"/>
      <c r="X199" s="10" t="n"/>
      <c r="Y199" s="10" t="n"/>
      <c r="Z199" s="10" t="n"/>
      <c r="AA199" s="10" t="n"/>
      <c r="AB199" s="11">
        <f>IF(COUNTA(V199:AA199)=0,"",SUM(V199:AA199))</f>
        <v/>
      </c>
      <c r="AC199" s="11">
        <f>IF(U199="","",U199-IF(AB199="",0,AB199))</f>
        <v/>
      </c>
      <c r="AD199" s="12">
        <f>IF(AC199="","",IF(AC199&gt;0,"PROFIT",IF(AC199&lt;0,"LOSS","BREAKEVEN")))</f>
        <v/>
      </c>
      <c r="AE199" s="6" t="n"/>
      <c r="AF199" s="6" t="n"/>
      <c r="AG199" s="6" t="n"/>
      <c r="AH199" s="5" t="n"/>
    </row>
    <row r="200" ht="20" customHeight="1">
      <c r="A200" s="5" t="n"/>
      <c r="B200" s="6" t="n"/>
      <c r="C200" s="6" t="n"/>
      <c r="D200" s="7" t="n"/>
      <c r="E200" s="5" t="n"/>
      <c r="F200" s="6" t="n"/>
      <c r="G200" s="6" t="n"/>
      <c r="H200" s="6" t="n"/>
      <c r="I200" s="6" t="n"/>
      <c r="J200" s="5" t="n"/>
      <c r="K200" s="7" t="n"/>
      <c r="L200" s="6" t="n"/>
      <c r="M200" s="8" t="n"/>
      <c r="N200" s="8" t="n"/>
      <c r="O200" s="9">
        <f>IF(OR(M200="",N200="",N200=0),"",M200/N200)</f>
        <v/>
      </c>
      <c r="P200" s="10" t="n"/>
      <c r="Q200" s="10" t="n"/>
      <c r="R200" s="11">
        <f>IF(OR(M200="",P200=""),"",M200*P200)</f>
        <v/>
      </c>
      <c r="S200" s="11">
        <f>IF(OR(M200="",Q200=""),"",M200*Q200)</f>
        <v/>
      </c>
      <c r="T200" s="11">
        <f>IF(OR(R200="",S200=""),"",R200+S200)</f>
        <v/>
      </c>
      <c r="U200" s="11">
        <f>IF(OR(L200="",M200="",P200="",Q200=""),"",IF(UPPER(L200)="SHORT",(P200-Q200)*M200,(Q200-P200)*M200))</f>
        <v/>
      </c>
      <c r="V200" s="10" t="n"/>
      <c r="W200" s="10" t="n"/>
      <c r="X200" s="10" t="n"/>
      <c r="Y200" s="10" t="n"/>
      <c r="Z200" s="10" t="n"/>
      <c r="AA200" s="10" t="n"/>
      <c r="AB200" s="11">
        <f>IF(COUNTA(V200:AA200)=0,"",SUM(V200:AA200))</f>
        <v/>
      </c>
      <c r="AC200" s="11">
        <f>IF(U200="","",U200-IF(AB200="",0,AB200))</f>
        <v/>
      </c>
      <c r="AD200" s="12">
        <f>IF(AC200="","",IF(AC200&gt;0,"PROFIT",IF(AC200&lt;0,"LOSS","BREAKEVEN")))</f>
        <v/>
      </c>
      <c r="AE200" s="6" t="n"/>
      <c r="AF200" s="6" t="n"/>
      <c r="AG200" s="6" t="n"/>
      <c r="AH200" s="5" t="n"/>
    </row>
    <row r="201" ht="20" customHeight="1">
      <c r="A201" s="5" t="n"/>
      <c r="B201" s="6" t="n"/>
      <c r="C201" s="6" t="n"/>
      <c r="D201" s="7" t="n"/>
      <c r="E201" s="5" t="n"/>
      <c r="F201" s="6" t="n"/>
      <c r="G201" s="6" t="n"/>
      <c r="H201" s="6" t="n"/>
      <c r="I201" s="6" t="n"/>
      <c r="J201" s="5" t="n"/>
      <c r="K201" s="7" t="n"/>
      <c r="L201" s="6" t="n"/>
      <c r="M201" s="8" t="n"/>
      <c r="N201" s="8" t="n"/>
      <c r="O201" s="9">
        <f>IF(OR(M201="",N201="",N201=0),"",M201/N201)</f>
        <v/>
      </c>
      <c r="P201" s="10" t="n"/>
      <c r="Q201" s="10" t="n"/>
      <c r="R201" s="11">
        <f>IF(OR(M201="",P201=""),"",M201*P201)</f>
        <v/>
      </c>
      <c r="S201" s="11">
        <f>IF(OR(M201="",Q201=""),"",M201*Q201)</f>
        <v/>
      </c>
      <c r="T201" s="11">
        <f>IF(OR(R201="",S201=""),"",R201+S201)</f>
        <v/>
      </c>
      <c r="U201" s="11">
        <f>IF(OR(L201="",M201="",P201="",Q201=""),"",IF(UPPER(L201)="SHORT",(P201-Q201)*M201,(Q201-P201)*M201))</f>
        <v/>
      </c>
      <c r="V201" s="10" t="n"/>
      <c r="W201" s="10" t="n"/>
      <c r="X201" s="10" t="n"/>
      <c r="Y201" s="10" t="n"/>
      <c r="Z201" s="10" t="n"/>
      <c r="AA201" s="10" t="n"/>
      <c r="AB201" s="11">
        <f>IF(COUNTA(V201:AA201)=0,"",SUM(V201:AA201))</f>
        <v/>
      </c>
      <c r="AC201" s="11">
        <f>IF(U201="","",U201-IF(AB201="",0,AB201))</f>
        <v/>
      </c>
      <c r="AD201" s="12">
        <f>IF(AC201="","",IF(AC201&gt;0,"PROFIT",IF(AC201&lt;0,"LOSS","BREAKEVEN")))</f>
        <v/>
      </c>
      <c r="AE201" s="6" t="n"/>
      <c r="AF201" s="6" t="n"/>
      <c r="AG201" s="6" t="n"/>
      <c r="AH201" s="5" t="n"/>
    </row>
    <row r="202" ht="20" customHeight="1">
      <c r="A202" s="5" t="n"/>
      <c r="B202" s="6" t="n"/>
      <c r="C202" s="6" t="n"/>
      <c r="D202" s="7" t="n"/>
      <c r="E202" s="5" t="n"/>
      <c r="F202" s="6" t="n"/>
      <c r="G202" s="6" t="n"/>
      <c r="H202" s="6" t="n"/>
      <c r="I202" s="6" t="n"/>
      <c r="J202" s="5" t="n"/>
      <c r="K202" s="7" t="n"/>
      <c r="L202" s="6" t="n"/>
      <c r="M202" s="8" t="n"/>
      <c r="N202" s="8" t="n"/>
      <c r="O202" s="9">
        <f>IF(OR(M202="",N202="",N202=0),"",M202/N202)</f>
        <v/>
      </c>
      <c r="P202" s="10" t="n"/>
      <c r="Q202" s="10" t="n"/>
      <c r="R202" s="11">
        <f>IF(OR(M202="",P202=""),"",M202*P202)</f>
        <v/>
      </c>
      <c r="S202" s="11">
        <f>IF(OR(M202="",Q202=""),"",M202*Q202)</f>
        <v/>
      </c>
      <c r="T202" s="11">
        <f>IF(OR(R202="",S202=""),"",R202+S202)</f>
        <v/>
      </c>
      <c r="U202" s="11">
        <f>IF(OR(L202="",M202="",P202="",Q202=""),"",IF(UPPER(L202)="SHORT",(P202-Q202)*M202,(Q202-P202)*M202))</f>
        <v/>
      </c>
      <c r="V202" s="10" t="n"/>
      <c r="W202" s="10" t="n"/>
      <c r="X202" s="10" t="n"/>
      <c r="Y202" s="10" t="n"/>
      <c r="Z202" s="10" t="n"/>
      <c r="AA202" s="10" t="n"/>
      <c r="AB202" s="11">
        <f>IF(COUNTA(V202:AA202)=0,"",SUM(V202:AA202))</f>
        <v/>
      </c>
      <c r="AC202" s="11">
        <f>IF(U202="","",U202-IF(AB202="",0,AB202))</f>
        <v/>
      </c>
      <c r="AD202" s="12">
        <f>IF(AC202="","",IF(AC202&gt;0,"PROFIT",IF(AC202&lt;0,"LOSS","BREAKEVEN")))</f>
        <v/>
      </c>
      <c r="AE202" s="6" t="n"/>
      <c r="AF202" s="6" t="n"/>
      <c r="AG202" s="6" t="n"/>
      <c r="AH202" s="5" t="n"/>
    </row>
    <row r="203" ht="20" customHeight="1">
      <c r="A203" s="5" t="n"/>
      <c r="B203" s="6" t="n"/>
      <c r="C203" s="6" t="n"/>
      <c r="D203" s="7" t="n"/>
      <c r="E203" s="5" t="n"/>
      <c r="F203" s="6" t="n"/>
      <c r="G203" s="6" t="n"/>
      <c r="H203" s="6" t="n"/>
      <c r="I203" s="6" t="n"/>
      <c r="J203" s="5" t="n"/>
      <c r="K203" s="7" t="n"/>
      <c r="L203" s="6" t="n"/>
      <c r="M203" s="8" t="n"/>
      <c r="N203" s="8" t="n"/>
      <c r="O203" s="9">
        <f>IF(OR(M203="",N203="",N203=0),"",M203/N203)</f>
        <v/>
      </c>
      <c r="P203" s="10" t="n"/>
      <c r="Q203" s="10" t="n"/>
      <c r="R203" s="11">
        <f>IF(OR(M203="",P203=""),"",M203*P203)</f>
        <v/>
      </c>
      <c r="S203" s="11">
        <f>IF(OR(M203="",Q203=""),"",M203*Q203)</f>
        <v/>
      </c>
      <c r="T203" s="11">
        <f>IF(OR(R203="",S203=""),"",R203+S203)</f>
        <v/>
      </c>
      <c r="U203" s="11">
        <f>IF(OR(L203="",M203="",P203="",Q203=""),"",IF(UPPER(L203)="SHORT",(P203-Q203)*M203,(Q203-P203)*M203))</f>
        <v/>
      </c>
      <c r="V203" s="10" t="n"/>
      <c r="W203" s="10" t="n"/>
      <c r="X203" s="10" t="n"/>
      <c r="Y203" s="10" t="n"/>
      <c r="Z203" s="10" t="n"/>
      <c r="AA203" s="10" t="n"/>
      <c r="AB203" s="11">
        <f>IF(COUNTA(V203:AA203)=0,"",SUM(V203:AA203))</f>
        <v/>
      </c>
      <c r="AC203" s="11">
        <f>IF(U203="","",U203-IF(AB203="",0,AB203))</f>
        <v/>
      </c>
      <c r="AD203" s="12">
        <f>IF(AC203="","",IF(AC203&gt;0,"PROFIT",IF(AC203&lt;0,"LOSS","BREAKEVEN")))</f>
        <v/>
      </c>
      <c r="AE203" s="6" t="n"/>
      <c r="AF203" s="6" t="n"/>
      <c r="AG203" s="6" t="n"/>
      <c r="AH203" s="5" t="n"/>
    </row>
    <row r="204" ht="20" customHeight="1">
      <c r="A204" s="5" t="n"/>
      <c r="B204" s="6" t="n"/>
      <c r="C204" s="6" t="n"/>
      <c r="D204" s="7" t="n"/>
      <c r="E204" s="5" t="n"/>
      <c r="F204" s="6" t="n"/>
      <c r="G204" s="6" t="n"/>
      <c r="H204" s="6" t="n"/>
      <c r="I204" s="6" t="n"/>
      <c r="J204" s="5" t="n"/>
      <c r="K204" s="7" t="n"/>
      <c r="L204" s="6" t="n"/>
      <c r="M204" s="8" t="n"/>
      <c r="N204" s="8" t="n"/>
      <c r="O204" s="9">
        <f>IF(OR(M204="",N204="",N204=0),"",M204/N204)</f>
        <v/>
      </c>
      <c r="P204" s="10" t="n"/>
      <c r="Q204" s="10" t="n"/>
      <c r="R204" s="11">
        <f>IF(OR(M204="",P204=""),"",M204*P204)</f>
        <v/>
      </c>
      <c r="S204" s="11">
        <f>IF(OR(M204="",Q204=""),"",M204*Q204)</f>
        <v/>
      </c>
      <c r="T204" s="11">
        <f>IF(OR(R204="",S204=""),"",R204+S204)</f>
        <v/>
      </c>
      <c r="U204" s="11">
        <f>IF(OR(L204="",M204="",P204="",Q204=""),"",IF(UPPER(L204)="SHORT",(P204-Q204)*M204,(Q204-P204)*M204))</f>
        <v/>
      </c>
      <c r="V204" s="10" t="n"/>
      <c r="W204" s="10" t="n"/>
      <c r="X204" s="10" t="n"/>
      <c r="Y204" s="10" t="n"/>
      <c r="Z204" s="10" t="n"/>
      <c r="AA204" s="10" t="n"/>
      <c r="AB204" s="11">
        <f>IF(COUNTA(V204:AA204)=0,"",SUM(V204:AA204))</f>
        <v/>
      </c>
      <c r="AC204" s="11">
        <f>IF(U204="","",U204-IF(AB204="",0,AB204))</f>
        <v/>
      </c>
      <c r="AD204" s="12">
        <f>IF(AC204="","",IF(AC204&gt;0,"PROFIT",IF(AC204&lt;0,"LOSS","BREAKEVEN")))</f>
        <v/>
      </c>
      <c r="AE204" s="6" t="n"/>
      <c r="AF204" s="6" t="n"/>
      <c r="AG204" s="6" t="n"/>
      <c r="AH204" s="5" t="n"/>
    </row>
    <row r="205" ht="20" customHeight="1">
      <c r="A205" s="5" t="n"/>
      <c r="B205" s="6" t="n"/>
      <c r="C205" s="6" t="n"/>
      <c r="D205" s="7" t="n"/>
      <c r="E205" s="5" t="n"/>
      <c r="F205" s="6" t="n"/>
      <c r="G205" s="6" t="n"/>
      <c r="H205" s="6" t="n"/>
      <c r="I205" s="6" t="n"/>
      <c r="J205" s="5" t="n"/>
      <c r="K205" s="7" t="n"/>
      <c r="L205" s="6" t="n"/>
      <c r="M205" s="8" t="n"/>
      <c r="N205" s="8" t="n"/>
      <c r="O205" s="9">
        <f>IF(OR(M205="",N205="",N205=0),"",M205/N205)</f>
        <v/>
      </c>
      <c r="P205" s="10" t="n"/>
      <c r="Q205" s="10" t="n"/>
      <c r="R205" s="11">
        <f>IF(OR(M205="",P205=""),"",M205*P205)</f>
        <v/>
      </c>
      <c r="S205" s="11">
        <f>IF(OR(M205="",Q205=""),"",M205*Q205)</f>
        <v/>
      </c>
      <c r="T205" s="11">
        <f>IF(OR(R205="",S205=""),"",R205+S205)</f>
        <v/>
      </c>
      <c r="U205" s="11">
        <f>IF(OR(L205="",M205="",P205="",Q205=""),"",IF(UPPER(L205)="SHORT",(P205-Q205)*M205,(Q205-P205)*M205))</f>
        <v/>
      </c>
      <c r="V205" s="10" t="n"/>
      <c r="W205" s="10" t="n"/>
      <c r="X205" s="10" t="n"/>
      <c r="Y205" s="10" t="n"/>
      <c r="Z205" s="10" t="n"/>
      <c r="AA205" s="10" t="n"/>
      <c r="AB205" s="11">
        <f>IF(COUNTA(V205:AA205)=0,"",SUM(V205:AA205))</f>
        <v/>
      </c>
      <c r="AC205" s="11">
        <f>IF(U205="","",U205-IF(AB205="",0,AB205))</f>
        <v/>
      </c>
      <c r="AD205" s="12">
        <f>IF(AC205="","",IF(AC205&gt;0,"PROFIT",IF(AC205&lt;0,"LOSS","BREAKEVEN")))</f>
        <v/>
      </c>
      <c r="AE205" s="6" t="n"/>
      <c r="AF205" s="6" t="n"/>
      <c r="AG205" s="6" t="n"/>
      <c r="AH205" s="5" t="n"/>
    </row>
  </sheetData>
  <autoFilter ref="A5:AH205"/>
  <mergeCells count="3">
    <mergeCell ref="A3:AH3"/>
    <mergeCell ref="A1:AH2"/>
    <mergeCell ref="A4:AH4"/>
  </mergeCells>
  <conditionalFormatting sqref="AC6:AC205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6">
    <dataValidation sqref="F6:F205" showDropDown="0" showInputMessage="1" showErrorMessage="1" allowBlank="1" errorTitle="Invalid value" error="Choose a value from the list." promptTitle="GrowVest Trading" prompt="Choose Segment" type="list">
      <formula1>=Lists!$A$2:$A$5</formula1>
    </dataValidation>
    <dataValidation sqref="G6:G205" showDropDown="0" showInputMessage="1" showErrorMessage="1" allowBlank="1" errorTitle="Invalid value" error="Choose a value from the list." promptTitle="GrowVest Trading" prompt="Choose Instrument Type" type="list">
      <formula1>=Lists!$B$2:$B$5</formula1>
    </dataValidation>
    <dataValidation sqref="H6:H205" showDropDown="0" showInputMessage="1" showErrorMessage="1" allowBlank="1" errorTitle="Invalid value" error="Choose a value from the list." promptTitle="GrowVest Trading" prompt="Choose Exchange" type="list">
      <formula1>=Lists!$C$2:$C$7</formula1>
    </dataValidation>
    <dataValidation sqref="L6:L205" showDropDown="0" showInputMessage="1" showErrorMessage="1" allowBlank="1" errorTitle="Invalid value" error="Choose a value from the list." promptTitle="GrowVest Trading" prompt="Choose LONG or SHORT" type="list">
      <formula1>=Lists!$D$2:$D$3</formula1>
    </dataValidation>
    <dataValidation sqref="AG6:AG205" showDropDown="0" showInputMessage="1" showErrorMessage="1" allowBlank="1" errorTitle="Invalid value" error="Choose a value from the list." promptTitle="GrowVest Trading" prompt="Closed trades only" type="list">
      <formula1>=Lists!$E$2:$E$2</formula1>
    </dataValidation>
    <dataValidation sqref="M6:Q205" showDropDown="0" showInputMessage="0" showErrorMessage="0" allowBlank="1" error="Enter a number greater than zero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6" customHeight="1">
      <c r="A1" s="1" t="inlineStr">
        <is>
          <t>GrowVest Daily Trading / F&amp;O Upload</t>
        </is>
      </c>
    </row>
    <row r="2" ht="26" customHeight="1"/>
    <row r="3" ht="22" customHeight="1"/>
    <row r="4" ht="40" customHeight="1">
      <c r="A4" s="13" t="inlineStr">
        <is>
          <t>Use this workbook for CLOSED trading activity only. Trading stays separate from the long-term investment portfolio and Bucket List corpus.</t>
        </is>
      </c>
    </row>
    <row r="5" ht="22" customHeight="1"/>
    <row r="6" ht="22" customHeight="1">
      <c r="A6" s="14" t="inlineStr">
        <is>
          <t>1. One investor per file</t>
        </is>
      </c>
      <c r="C6" s="15" t="inlineStr">
        <is>
          <t>Investor Name or Client Code must identify one GrowVest investor. Do not combine multiple investors in one workbook.</t>
        </is>
      </c>
    </row>
    <row r="7" ht="22" customHeight="1"/>
    <row r="8" ht="22" customHeight="1">
      <c r="A8" s="14" t="inlineStr">
        <is>
          <t>2. One broker per file</t>
        </is>
      </c>
      <c r="C8" s="15" t="inlineStr">
        <is>
          <t>If the investor trades through more than one broker, upload one workbook per broker for clean account tracking.</t>
        </is>
      </c>
    </row>
    <row r="9" ht="22" customHeight="1"/>
    <row r="10" ht="22" customHeight="1">
      <c r="A10" s="14" t="inlineStr">
        <is>
          <t>3. CLOSED trades only</t>
        </is>
      </c>
      <c r="C10" s="15" t="inlineStr">
        <is>
          <t>Daily Trading v1 imports completed trades. OPEN positions, margins and daily MTM statements will be handled through separate adapters.</t>
        </is>
      </c>
    </row>
    <row r="11" ht="22" customHeight="1"/>
    <row r="12" ht="22" customHeight="1">
      <c r="A12" s="14" t="inlineStr">
        <is>
          <t>4. Quantity means total units</t>
        </is>
      </c>
      <c r="C12" s="15" t="inlineStr">
        <is>
          <t>For Futures/Options, Quantity is total traded units. Lot Size is the exchange contract lot size; Lots is calculated automatically.</t>
        </is>
      </c>
    </row>
    <row r="13" ht="22" customHeight="1"/>
    <row r="14" ht="22" customHeight="1">
      <c r="A14" s="14" t="inlineStr">
        <is>
          <t>5. Position Side matters</t>
        </is>
      </c>
      <c r="C14" s="15" t="inlineStr">
        <is>
          <t>LONG: P&amp;L = (Exit - Entry) × Quantity. SHORT: P&amp;L = (Entry - Exit) × Quantity.</t>
        </is>
      </c>
    </row>
    <row r="15" ht="22" customHeight="1"/>
    <row r="16" ht="22" customHeight="1">
      <c r="A16" s="14" t="inlineStr">
        <is>
          <t>6. Supported instruments</t>
        </is>
      </c>
      <c r="C16" s="15" t="inlineStr">
        <is>
          <t>EQUITY_INTRADAY, FUTURE, OPTION_CALL and OPTION_PUT.</t>
        </is>
      </c>
    </row>
    <row r="17" ht="22" customHeight="1"/>
    <row r="18" ht="22" customHeight="1">
      <c r="A18" s="14" t="inlineStr">
        <is>
          <t>7. Do not edit formula columns</t>
        </is>
      </c>
      <c r="C18" s="15" t="inlineStr">
        <is>
          <t>Lots, Entry Value, Exit Value, Turnover, Gross P&amp;L, Total Charges, Net P&amp;L and Result are formula-driven for review. GrowVest recalculates these values during import.</t>
        </is>
      </c>
    </row>
    <row r="19" ht="22" customHeight="1"/>
    <row r="20" ht="22" customHeight="1">
      <c r="A20" s="14" t="inlineStr">
        <is>
          <t>8. Do not rename headers</t>
        </is>
      </c>
      <c r="C20" s="15" t="inlineStr">
        <is>
          <t>The Daily Trading sheet header names are the standard import contract. You can add notes, but do not rename or delete columns.</t>
        </is>
      </c>
    </row>
    <row r="21" ht="22" customHeight="1"/>
    <row r="22" ht="22" customHeight="1"/>
    <row r="23" ht="22" customHeight="1">
      <c r="A23" s="16" t="inlineStr">
        <is>
          <t>Upload flow: Trading Accounts → Download Trading Excel → Fill → Portfolio → Daily Update → Preview → Confirm Investor → Import</t>
        </is>
      </c>
    </row>
    <row r="24" ht="22" customHeight="1"/>
  </sheetData>
  <mergeCells count="19">
    <mergeCell ref="C10:H10"/>
    <mergeCell ref="C16:H16"/>
    <mergeCell ref="C12:H12"/>
    <mergeCell ref="A6:B6"/>
    <mergeCell ref="A16:B16"/>
    <mergeCell ref="C8:H8"/>
    <mergeCell ref="A18:B18"/>
    <mergeCell ref="A12:B12"/>
    <mergeCell ref="A14:B14"/>
    <mergeCell ref="C18:H18"/>
    <mergeCell ref="A23:H23"/>
    <mergeCell ref="A1:H2"/>
    <mergeCell ref="A8:B8"/>
    <mergeCell ref="A4:H4"/>
    <mergeCell ref="C6:H6"/>
    <mergeCell ref="A20:B20"/>
    <mergeCell ref="C14:H14"/>
    <mergeCell ref="A10:B10"/>
    <mergeCell ref="C20:H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Segments</t>
        </is>
      </c>
      <c r="B1" t="inlineStr">
        <is>
          <t>InstrumentTypes</t>
        </is>
      </c>
      <c r="C1" t="inlineStr">
        <is>
          <t>Exchanges</t>
        </is>
      </c>
      <c r="D1" t="inlineStr">
        <is>
          <t>PositionSides</t>
        </is>
      </c>
      <c r="E1" t="inlineStr">
        <is>
          <t>Statuses</t>
        </is>
      </c>
    </row>
    <row r="2">
      <c r="A2" t="inlineStr">
        <is>
          <t>EQ</t>
        </is>
      </c>
      <c r="B2" t="inlineStr">
        <is>
          <t>EQUITY_INTRADAY</t>
        </is>
      </c>
      <c r="C2" t="inlineStr">
        <is>
          <t>NSE</t>
        </is>
      </c>
      <c r="D2" t="inlineStr">
        <is>
          <t>LONG</t>
        </is>
      </c>
      <c r="E2" t="inlineStr">
        <is>
          <t>CLOSED</t>
        </is>
      </c>
    </row>
    <row r="3">
      <c r="A3" t="inlineStr">
        <is>
          <t>F&amp;O</t>
        </is>
      </c>
      <c r="B3" t="inlineStr">
        <is>
          <t>FUTURE</t>
        </is>
      </c>
      <c r="C3" t="inlineStr">
        <is>
          <t>BSE</t>
        </is>
      </c>
      <c r="D3" t="inlineStr">
        <is>
          <t>SHORT</t>
        </is>
      </c>
    </row>
    <row r="4">
      <c r="A4" t="inlineStr">
        <is>
          <t>COMMODITY</t>
        </is>
      </c>
      <c r="B4" t="inlineStr">
        <is>
          <t>OPTION_CALL</t>
        </is>
      </c>
      <c r="C4" t="inlineStr">
        <is>
          <t>NFO</t>
        </is>
      </c>
    </row>
    <row r="5">
      <c r="A5" t="inlineStr">
        <is>
          <t>CURRENCY</t>
        </is>
      </c>
      <c r="B5" t="inlineStr">
        <is>
          <t>OPTION_PUT</t>
        </is>
      </c>
      <c r="C5" t="inlineStr">
        <is>
          <t>BFO</t>
        </is>
      </c>
    </row>
    <row r="6">
      <c r="C6" t="inlineStr">
        <is>
          <t>MCX</t>
        </is>
      </c>
    </row>
    <row r="7">
      <c r="C7" t="inlineStr">
        <is>
          <t>CDS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2026-09-26T12:13:18Z</dcterms:created>
  <dcterms:modified xmlns:dcterms="http://purl.org/dc/terms/" xmlns:xsi="http://www.w3.org/2001/XMLSchema-instance" xsi:type="dcterms:W3CDTF">2026-09-26T12:13:18Z</dcterms:modified>
</cp:coreProperties>
</file>